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\Mag\FreeTips\Tip1002\"/>
    </mc:Choice>
  </mc:AlternateContent>
  <xr:revisionPtr revIDLastSave="0" documentId="8_{86E51C00-7E06-44BB-A042-E68D790DEF99}" xr6:coauthVersionLast="47" xr6:coauthVersionMax="47" xr10:uidLastSave="{00000000-0000-0000-0000-000000000000}"/>
  <bookViews>
    <workbookView xWindow="-98" yWindow="-98" windowWidth="28996" windowHeight="15796" tabRatio="801" activeTab="2" xr2:uid="{00000000-000D-0000-FFFF-FFFF00000000}"/>
  </bookViews>
  <sheets>
    <sheet name="Guide" sheetId="8" r:id="rId1"/>
    <sheet name="Params" sheetId="5" r:id="rId2"/>
    <sheet name="dStockCalcs" sheetId="1" r:id="rId3"/>
  </sheets>
  <definedNames>
    <definedName name="_xlnm._FilterDatabase" localSheetId="2" hidden="1">dStockCalcs!$K$14:$N$25</definedName>
    <definedName name="afbParams">Params!$A$1:$A$4</definedName>
    <definedName name="afbSheet" localSheetId="2">dStockCalcs!$K$11:$K$14</definedName>
    <definedName name="kAppName">Params!$B$6</definedName>
    <definedName name="kCrosscheckMsg">Params!$B$10</definedName>
    <definedName name="kCrosscheckTolerance">Params!$B$9</definedName>
    <definedName name="kHideWebToolbar">Params!$B$12</definedName>
    <definedName name="kNow">Params!$B$11</definedName>
    <definedName name="kOrgName">Params!$B$8</definedName>
    <definedName name="kVersion">Params!$B$7</definedName>
    <definedName name="_xlnm.Print_Area" localSheetId="2">dStockCalcs!$K$11:$O$27</definedName>
    <definedName name="_xlnm.Print_Titles" localSheetId="2">dStockCalcs!$K:$K,dStockCalcs!$11:$14</definedName>
    <definedName name="_xlnm.Print_Titles" localSheetId="0">Guide!$1:$4</definedName>
    <definedName name="_xlnm.Print_Titles" localSheetId="1">Params!$1:$4</definedName>
    <definedName name="ttSheet" localSheetId="2">dStockCalcs!$K$14:$O$14</definedName>
    <definedName name="ttSheet" localSheetId="0">Guide!$A$4:$D$4</definedName>
    <definedName name="ttSheet" localSheetId="1">Params!$A$4:$B$4</definedName>
  </definedNames>
  <calcPr calcId="191029" iterateCount="1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3" i="1" l="1"/>
  <c r="L35" i="1"/>
  <c r="L37" i="1"/>
  <c r="L39" i="1"/>
  <c r="L31" i="1"/>
  <c r="L29" i="1"/>
  <c r="L11" i="1"/>
  <c r="C9" i="8"/>
  <c r="C8" i="8"/>
  <c r="A3" i="8"/>
  <c r="A2" i="8"/>
  <c r="B11" i="5"/>
  <c r="L12" i="1" s="1"/>
  <c r="A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Oulton</author>
  </authors>
  <commentList>
    <comment ref="A20" authorId="0" shapeId="0" xr:uid="{00000000-0006-0000-0000-000001000000}">
      <text>
        <r>
          <rPr>
            <sz val="8"/>
            <color indexed="81"/>
            <rFont val="Tahoma"/>
            <family val="2"/>
          </rPr>
          <t>If this is the start workbook, these are solely external sources to the application.
Otherwise, it is all sources (other workbooks and sources).</t>
        </r>
      </text>
    </comment>
    <comment ref="A21" authorId="0" shapeId="0" xr:uid="{00000000-0006-0000-0000-000002000000}">
      <text>
        <r>
          <rPr>
            <sz val="8"/>
            <color indexed="81"/>
            <rFont val="Tahoma"/>
            <family val="2"/>
          </rPr>
          <t>If this is the start workbook, these are solely external destinations of the application.
Otherwise, it is all destinations (other workbooks and external destinations).</t>
        </r>
      </text>
    </comment>
    <comment ref="A22" authorId="0" shapeId="0" xr:uid="{00000000-0006-0000-0000-000003000000}">
      <text>
        <r>
          <rPr>
            <sz val="8"/>
            <color indexed="81"/>
            <rFont val="Tahoma"/>
            <family val="2"/>
          </rPr>
          <t>First file to open in a multi-workbook application.</t>
        </r>
      </text>
    </comment>
    <comment ref="A23" authorId="0" shapeId="0" xr:uid="{00000000-0006-0000-0000-000004000000}">
      <text>
        <r>
          <rPr>
            <sz val="8"/>
            <color indexed="81"/>
            <rFont val="Tahoma"/>
            <family val="2"/>
          </rPr>
          <t>Names of workbooks. This is essential for start workbook only .</t>
        </r>
      </text>
    </comment>
    <comment ref="A25" authorId="0" shapeId="0" xr:uid="{00000000-0006-0000-0000-000005000000}">
      <text>
        <r>
          <rPr>
            <sz val="8"/>
            <color indexed="81"/>
            <rFont val="Tahoma"/>
            <family val="2"/>
          </rPr>
          <t>If this workbook is start workbook, it is for entire application. Otherwise, it is for this workbook only.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Oulton</author>
  </authors>
  <commentList>
    <comment ref="A12" authorId="0" shapeId="0" xr:uid="{00000000-0006-0000-0100-000001000000}">
      <text>
        <r>
          <rPr>
            <sz val="8"/>
            <color indexed="81"/>
            <rFont val="Tahoma"/>
            <family val="2"/>
          </rPr>
          <t>Hide Web toolbar when file opens.</t>
        </r>
      </text>
    </comment>
  </commentList>
</comments>
</file>

<file path=xl/sharedStrings.xml><?xml version="1.0" encoding="utf-8"?>
<sst xmlns="http://schemas.openxmlformats.org/spreadsheetml/2006/main" count="111" uniqueCount="73">
  <si>
    <t>Key parameters</t>
  </si>
  <si>
    <t>Now</t>
  </si>
  <si>
    <t>Organisation name</t>
  </si>
  <si>
    <t>Application name</t>
  </si>
  <si>
    <t>File name</t>
  </si>
  <si>
    <t>Version</t>
  </si>
  <si>
    <t>References</t>
  </si>
  <si>
    <t>Files</t>
  </si>
  <si>
    <t>Crosscheck tolerance</t>
  </si>
  <si>
    <t>Crosscheck text</t>
  </si>
  <si>
    <t>Crosscheck error!</t>
  </si>
  <si>
    <t>Workbook purpose</t>
  </si>
  <si>
    <t>Who created/modified</t>
  </si>
  <si>
    <t>Guide</t>
  </si>
  <si>
    <t>Modifications</t>
  </si>
  <si>
    <t>Naming convention</t>
  </si>
  <si>
    <t>Data sources</t>
  </si>
  <si>
    <t>Data inputs</t>
  </si>
  <si>
    <t>Reports</t>
  </si>
  <si>
    <t>Outputs</t>
  </si>
  <si>
    <t>Input-Process-Output</t>
  </si>
  <si>
    <t>Process/Calcs</t>
  </si>
  <si>
    <t>Overview</t>
  </si>
  <si>
    <t>Application purpose</t>
  </si>
  <si>
    <t>Start workbook</t>
  </si>
  <si>
    <t>Data sourced from</t>
  </si>
  <si>
    <t>Data destined for</t>
  </si>
  <si>
    <t>Other application files</t>
  </si>
  <si>
    <t>Diagram of data flow</t>
  </si>
  <si>
    <t>HideWebToolbar</t>
  </si>
  <si>
    <t>Same as application.</t>
  </si>
  <si>
    <t>Jeremy</t>
  </si>
  <si>
    <t>Product code</t>
  </si>
  <si>
    <t>Category</t>
  </si>
  <si>
    <t>Clothing - Ladies'</t>
  </si>
  <si>
    <t>100-286</t>
  </si>
  <si>
    <t>All clothing</t>
  </si>
  <si>
    <t>Sale items</t>
  </si>
  <si>
    <t>204-900</t>
  </si>
  <si>
    <t>Electronics</t>
  </si>
  <si>
    <t>Sales of:</t>
  </si>
  <si>
    <t>Quantity</t>
  </si>
  <si>
    <t>Sum quantities where category has "Men" in it.</t>
  </si>
  <si>
    <t>Stock list</t>
  </si>
  <si>
    <t>Partial</t>
  </si>
  <si>
    <t>Horrods of London</t>
  </si>
  <si>
    <t>Clothing - Men's</t>
  </si>
  <si>
    <t>120-239</t>
  </si>
  <si>
    <t>120-139</t>
  </si>
  <si>
    <t>100-986</t>
  </si>
  <si>
    <t>204-300</t>
  </si>
  <si>
    <t>n/a</t>
  </si>
  <si>
    <t>mStocklist</t>
  </si>
  <si>
    <t>Men's items</t>
  </si>
  <si>
    <t>SUMIF examples</t>
  </si>
  <si>
    <t>SUMIF examples.</t>
  </si>
  <si>
    <t>8-Sep-2010A</t>
  </si>
  <si>
    <t>*men*</t>
  </si>
  <si>
    <t>Sum quantities where the fifth character of the product code is 9, which means a sale item.</t>
  </si>
  <si>
    <t>Sum quantities where category starts with "Clothing".</t>
  </si>
  <si>
    <t>Sum quantities where category = "Electronics".</t>
  </si>
  <si>
    <t>????9??</t>
  </si>
  <si>
    <t>Region</t>
  </si>
  <si>
    <t>North</t>
  </si>
  <si>
    <t>South</t>
  </si>
  <si>
    <t>Sum Eletronics in North</t>
  </si>
  <si>
    <t>Electronics North</t>
  </si>
  <si>
    <t>&lt;&gt;*women*</t>
  </si>
  <si>
    <t>Womens Shoes</t>
  </si>
  <si>
    <t>Mens Shoes</t>
  </si>
  <si>
    <t>&gt;225</t>
  </si>
  <si>
    <t>Quantity &gt; 225</t>
  </si>
  <si>
    <t>Sum quantities which are greater than 225. The third argument is not required.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</si>
</sst>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#,##0_);\(#,##0\);0_);* @_)"/>
    <numFmt numFmtId="165" formatCode="#,##0.0_);\(#,##0.0\);0.0_);* @_)"/>
    <numFmt numFmtId="166" formatCode="#,##0.00_);\(#,##0.00\);0.00_);* @_)"/>
    <numFmt numFmtId="167" formatCode="#,##0.000_);\(#,##0.000\);0.000_);* @_)"/>
    <numFmt numFmtId="168" formatCode="#,##0.0000_);\(#,##0.0000\);0.0000_);* @_)"/>
    <numFmt numFmtId="169" formatCode="0;\-0;0;* @"/>
    <numFmt numFmtId="170" formatCode="0%;\-0%;0%;* @_%"/>
    <numFmt numFmtId="171" formatCode="0.0%;\-0.0%;0.0%;* @_%"/>
    <numFmt numFmtId="172" formatCode="0.00%;\-0.00%;0.00%;* @_%"/>
    <numFmt numFmtId="173" formatCode="0.000%;\-0.000%;0.000%;* @_%"/>
    <numFmt numFmtId="174" formatCode="d\-mmm\-yyyy;[Red]&quot;Not date&quot;;&quot;-&quot;;[Red]* &quot;Not date&quot;"/>
    <numFmt numFmtId="175" formatCode="d\-mmm\-yyyy\ h:mm\ AM/PM;[Red]* &quot;Not date&quot;;&quot;-&quot;;[Red]* &quot;Not date&quot;"/>
    <numFmt numFmtId="176" formatCode="d/mm/yyyy;[Red]* &quot;Not date&quot;;&quot;-&quot;;[Red]* &quot;Not date&quot;"/>
    <numFmt numFmtId="177" formatCode="mmm\-yy;[Red]* &quot;Not date&quot;;&quot;-&quot;;[Red]* &quot;Not date&quot;"/>
    <numFmt numFmtId="178" formatCode="h:mm\ AM/PM;[Red]* &quot;Not time&quot;;\-;[Red]* &quot;Not time&quot;"/>
    <numFmt numFmtId="179" formatCode="[h]:mm;[Red]* &quot;Not time&quot;;[h]:mm;[Red]* &quot;Not time&quot;"/>
    <numFmt numFmtId="180" formatCode="d\-mmm\-yyyy;[Red]* &quot;Not date&quot;;&quot;-&quot;;[Red]* &quot;Not date&quot;"/>
    <numFmt numFmtId="181" formatCode="d\-mmm\-yyyy\ h:mm\ AM/PM;[Red]* &quot;Not time&quot;;0;[Red]* &quot;Not time&quot;"/>
    <numFmt numFmtId="182" formatCode="mm/dd/yyyy;[Red]* &quot;Not date&quot;;&quot;-&quot;;[Red]* &quot;Not date&quot;"/>
    <numFmt numFmtId="183" formatCode="d\-mmm;[Red]&quot;Not date&quot;;&quot;-&quot;;[Red]* &quot;Not date&quot;"/>
    <numFmt numFmtId="184" formatCode="#,##0,_);\(#,##0,\);0_);* @_)"/>
    <numFmt numFmtId="185" formatCode="#,##0,,_);\(#,##0,,\);0_);* @_)"/>
    <numFmt numFmtId="186" formatCode="\$* #,##0_);\$* \(#,##0\);\$* 0_);* @_)"/>
    <numFmt numFmtId="187" formatCode="\$* #,##0,_);\$* \(#,##0,\);\$* 0_);* @_)"/>
    <numFmt numFmtId="188" formatCode="\$* #,##0,,_);\$* \(#,##0,,\);\$* 0_);* @_)"/>
    <numFmt numFmtId="189" formatCode="\$* #,##0.0_);\$* \(#,##0.0\);\$* 0.0_);* @_)"/>
    <numFmt numFmtId="190" formatCode="\$* #,##0.00_);\$* \(#,##0.00\);\$* 0.00_);* @_)"/>
    <numFmt numFmtId="191" formatCode="\$* #,##0.000_);\$* \(#,##0.000\);\$* 0.000_);* @_)"/>
    <numFmt numFmtId="192" formatCode="\$* #,##0.0000_);\$* \(#,##0.0000\);\$* 0.0000_);* @_)"/>
  </numFmts>
  <fonts count="13" x14ac:knownFonts="1">
    <font>
      <sz val="8"/>
      <name val="Arial"/>
      <family val="2"/>
    </font>
    <font>
      <sz val="8"/>
      <color indexed="8"/>
      <name val="Arial"/>
      <family val="2"/>
    </font>
    <font>
      <sz val="8"/>
      <color indexed="81"/>
      <name val="Tahoma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8"/>
      <name val="Arial"/>
      <family val="2"/>
    </font>
    <font>
      <u/>
      <sz val="8"/>
      <color indexed="12"/>
      <name val="Arial"/>
      <family val="2"/>
    </font>
    <font>
      <b/>
      <sz val="8"/>
      <color indexed="12"/>
      <name val="Arial"/>
      <family val="2"/>
    </font>
    <font>
      <sz val="8"/>
      <color indexed="63"/>
      <name val="Arial"/>
      <family val="2"/>
    </font>
    <font>
      <b/>
      <sz val="14"/>
      <color indexed="63"/>
      <name val="Arial"/>
      <family val="2"/>
    </font>
    <font>
      <b/>
      <sz val="12"/>
      <color indexed="63"/>
      <name val="Arial"/>
      <family val="2"/>
    </font>
    <font>
      <b/>
      <sz val="10"/>
      <color indexed="63"/>
      <name val="Arial"/>
      <family val="2"/>
    </font>
    <font>
      <b/>
      <sz val="8"/>
      <color indexed="6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3"/>
        <bgColor indexed="64"/>
      </patternFill>
    </fill>
  </fills>
  <borders count="9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91">
    <xf numFmtId="0" fontId="0" fillId="0" borderId="0" applyFill="0" applyBorder="0"/>
    <xf numFmtId="164" fontId="5" fillId="0" borderId="0" applyFill="0" applyBorder="0">
      <alignment vertical="top"/>
    </xf>
    <xf numFmtId="184" fontId="5" fillId="0" borderId="0" applyFill="0" applyBorder="0">
      <alignment vertical="top"/>
    </xf>
    <xf numFmtId="185" fontId="5" fillId="0" borderId="0" applyFill="0" applyBorder="0">
      <alignment vertical="top"/>
    </xf>
    <xf numFmtId="165" fontId="5" fillId="0" borderId="0" applyFill="0" applyBorder="0">
      <alignment vertical="top"/>
    </xf>
    <xf numFmtId="166" fontId="5" fillId="0" borderId="0" applyFill="0" applyBorder="0">
      <alignment vertical="top"/>
    </xf>
    <xf numFmtId="167" fontId="5" fillId="0" borderId="0" applyFill="0" applyBorder="0">
      <alignment vertical="top"/>
    </xf>
    <xf numFmtId="168" fontId="5" fillId="0" borderId="0" applyFill="0" applyBorder="0">
      <alignment vertical="top"/>
    </xf>
    <xf numFmtId="183" fontId="5" fillId="0" borderId="0" applyFill="0" applyBorder="0">
      <alignment vertical="top"/>
    </xf>
    <xf numFmtId="174" fontId="5" fillId="0" borderId="0" applyFill="0" applyBorder="0">
      <alignment vertical="top"/>
    </xf>
    <xf numFmtId="175" fontId="5" fillId="0" borderId="0" applyFill="0" applyBorder="0">
      <alignment vertical="top"/>
    </xf>
    <xf numFmtId="176" fontId="5" fillId="0" borderId="0" applyFill="0" applyBorder="0">
      <alignment vertical="top"/>
    </xf>
    <xf numFmtId="182" fontId="5" fillId="0" borderId="0" applyFill="0" applyBorder="0">
      <alignment vertical="top"/>
    </xf>
    <xf numFmtId="177" fontId="5" fillId="0" borderId="0" applyFill="0" applyBorder="0">
      <alignment vertical="top"/>
    </xf>
    <xf numFmtId="177" fontId="5" fillId="0" borderId="0" applyFill="0" applyBorder="0">
      <alignment horizontal="center" vertical="top"/>
    </xf>
    <xf numFmtId="169" fontId="5" fillId="0" borderId="0" applyFill="0" applyBorder="0">
      <alignment vertical="top"/>
    </xf>
    <xf numFmtId="178" fontId="5" fillId="0" borderId="0" applyFill="0" applyBorder="0">
      <alignment vertical="top"/>
    </xf>
    <xf numFmtId="179" fontId="5" fillId="0" borderId="0" applyFill="0" applyBorder="0">
      <alignment vertical="top"/>
    </xf>
    <xf numFmtId="170" fontId="5" fillId="0" borderId="0" applyFill="0" applyBorder="0">
      <alignment vertical="top"/>
    </xf>
    <xf numFmtId="171" fontId="1" fillId="0" borderId="0" applyFill="0" applyBorder="0">
      <alignment vertical="top"/>
    </xf>
    <xf numFmtId="172" fontId="5" fillId="0" borderId="0" applyFill="0" applyBorder="0">
      <alignment vertical="top"/>
    </xf>
    <xf numFmtId="173" fontId="5" fillId="0" borderId="0" applyFill="0" applyBorder="0">
      <alignment vertical="top"/>
    </xf>
    <xf numFmtId="186" fontId="5" fillId="0" borderId="0" applyFill="0" applyBorder="0">
      <alignment vertical="top"/>
    </xf>
    <xf numFmtId="187" fontId="5" fillId="0" borderId="0" applyFill="0" applyBorder="0">
      <alignment vertical="top"/>
    </xf>
    <xf numFmtId="188" fontId="5" fillId="0" borderId="0" applyFill="0" applyBorder="0">
      <alignment vertical="top"/>
    </xf>
    <xf numFmtId="189" fontId="5" fillId="0" borderId="0" applyFill="0" applyBorder="0">
      <alignment vertical="top"/>
    </xf>
    <xf numFmtId="190" fontId="5" fillId="0" borderId="0" applyFill="0" applyBorder="0">
      <alignment vertical="top"/>
    </xf>
    <xf numFmtId="191" fontId="5" fillId="0" borderId="0" applyFill="0" applyBorder="0">
      <alignment vertical="top"/>
    </xf>
    <xf numFmtId="192" fontId="5" fillId="0" borderId="0" applyFill="0" applyBorder="0">
      <alignment vertical="top"/>
    </xf>
    <xf numFmtId="0" fontId="9" fillId="0" borderId="0" applyFill="0" applyBorder="0">
      <alignment vertical="top"/>
    </xf>
    <xf numFmtId="0" fontId="10" fillId="0" borderId="0" applyFill="0" applyBorder="0">
      <alignment vertical="top"/>
    </xf>
    <xf numFmtId="0" fontId="11" fillId="0" borderId="0" applyFill="0" applyBorder="0">
      <alignment vertical="top"/>
    </xf>
    <xf numFmtId="0" fontId="12" fillId="0" borderId="0" applyFill="0" applyBorder="0">
      <alignment vertical="top"/>
    </xf>
    <xf numFmtId="0" fontId="6" fillId="0" borderId="0" applyFill="0" applyBorder="0">
      <alignment horizontal="left" vertical="top"/>
      <protection hidden="1"/>
    </xf>
    <xf numFmtId="0" fontId="6" fillId="0" borderId="0" applyFill="0" applyBorder="0">
      <alignment horizontal="left" vertical="top" indent="1"/>
      <protection hidden="1"/>
    </xf>
    <xf numFmtId="0" fontId="6" fillId="0" borderId="0" applyFill="0" applyBorder="0">
      <alignment horizontal="left" vertical="top" indent="2"/>
      <protection hidden="1"/>
    </xf>
    <xf numFmtId="0" fontId="6" fillId="0" borderId="0" applyFill="0" applyBorder="0">
      <alignment horizontal="left" vertical="top" indent="3"/>
      <protection hidden="1"/>
    </xf>
    <xf numFmtId="164" fontId="4" fillId="0" borderId="0" applyFill="0" applyBorder="0">
      <alignment vertical="top"/>
      <protection locked="0"/>
    </xf>
    <xf numFmtId="184" fontId="4" fillId="0" borderId="0" applyFill="0" applyBorder="0">
      <alignment vertical="top"/>
      <protection locked="0"/>
    </xf>
    <xf numFmtId="185" fontId="4" fillId="0" borderId="0" applyFill="0" applyBorder="0">
      <alignment vertical="top"/>
      <protection locked="0"/>
    </xf>
    <xf numFmtId="165" fontId="4" fillId="0" borderId="0" applyFill="0" applyBorder="0">
      <alignment vertical="top"/>
      <protection locked="0"/>
    </xf>
    <xf numFmtId="166" fontId="4" fillId="0" borderId="0" applyFill="0" applyBorder="0">
      <alignment vertical="top"/>
      <protection locked="0"/>
    </xf>
    <xf numFmtId="167" fontId="4" fillId="0" borderId="0" applyFill="0" applyBorder="0">
      <alignment vertical="top"/>
      <protection locked="0"/>
    </xf>
    <xf numFmtId="168" fontId="4" fillId="0" borderId="0" applyFill="0" applyBorder="0">
      <alignment vertical="top"/>
      <protection locked="0"/>
    </xf>
    <xf numFmtId="183" fontId="4" fillId="0" borderId="0" applyFill="0" applyBorder="0">
      <alignment vertical="top"/>
      <protection locked="0"/>
    </xf>
    <xf numFmtId="180" fontId="4" fillId="0" borderId="0" applyFill="0" applyBorder="0">
      <alignment vertical="top"/>
      <protection locked="0"/>
    </xf>
    <xf numFmtId="181" fontId="4" fillId="0" borderId="0" applyFill="0" applyBorder="0">
      <alignment vertical="top"/>
      <protection locked="0"/>
    </xf>
    <xf numFmtId="176" fontId="4" fillId="0" borderId="0" applyFill="0" applyBorder="0">
      <alignment vertical="top"/>
      <protection locked="0"/>
    </xf>
    <xf numFmtId="182" fontId="4" fillId="0" borderId="0" applyFill="0" applyBorder="0">
      <alignment vertical="top"/>
      <protection locked="0"/>
    </xf>
    <xf numFmtId="177" fontId="4" fillId="0" borderId="0" applyFill="0" applyBorder="0">
      <alignment vertical="top"/>
      <protection locked="0"/>
    </xf>
    <xf numFmtId="169" fontId="4" fillId="0" borderId="0" applyFill="0" applyBorder="0">
      <alignment vertical="top"/>
      <protection locked="0"/>
    </xf>
    <xf numFmtId="169" fontId="7" fillId="0" borderId="0" applyFill="0" applyBorder="0">
      <alignment vertical="top"/>
      <protection locked="0"/>
    </xf>
    <xf numFmtId="169" fontId="4" fillId="0" borderId="0" applyFill="0" applyBorder="0">
      <alignment vertical="top"/>
      <protection locked="0"/>
    </xf>
    <xf numFmtId="49" fontId="4" fillId="0" borderId="0" applyFill="0" applyBorder="0">
      <alignment vertical="top"/>
      <protection locked="0"/>
    </xf>
    <xf numFmtId="49" fontId="7" fillId="0" borderId="0" applyFill="0" applyBorder="0">
      <alignment vertical="top"/>
      <protection locked="0"/>
    </xf>
    <xf numFmtId="0" fontId="4" fillId="0" borderId="0" applyFill="0" applyBorder="0">
      <alignment vertical="top" wrapText="1"/>
      <protection locked="0"/>
    </xf>
    <xf numFmtId="178" fontId="4" fillId="0" borderId="0" applyFill="0" applyBorder="0">
      <alignment vertical="top"/>
      <protection locked="0"/>
    </xf>
    <xf numFmtId="179" fontId="4" fillId="0" borderId="0" applyFill="0" applyBorder="0">
      <alignment vertical="top"/>
      <protection locked="0"/>
    </xf>
    <xf numFmtId="170" fontId="4" fillId="0" borderId="0" applyFill="0" applyBorder="0">
      <alignment vertical="top"/>
      <protection locked="0"/>
    </xf>
    <xf numFmtId="171" fontId="4" fillId="0" borderId="0" applyFill="0" applyBorder="0">
      <alignment vertical="top"/>
      <protection locked="0"/>
    </xf>
    <xf numFmtId="172" fontId="4" fillId="0" borderId="0" applyFill="0" applyBorder="0">
      <alignment vertical="top"/>
      <protection locked="0"/>
    </xf>
    <xf numFmtId="173" fontId="4" fillId="0" borderId="0" applyFill="0" applyBorder="0">
      <alignment vertical="top"/>
      <protection locked="0"/>
    </xf>
    <xf numFmtId="186" fontId="4" fillId="0" borderId="0" applyFill="0" applyBorder="0">
      <alignment vertical="top"/>
      <protection locked="0"/>
    </xf>
    <xf numFmtId="187" fontId="4" fillId="0" borderId="0" applyFill="0" applyBorder="0">
      <alignment vertical="top"/>
      <protection locked="0"/>
    </xf>
    <xf numFmtId="188" fontId="4" fillId="0" borderId="0" applyFill="0" applyBorder="0">
      <alignment vertical="top"/>
      <protection locked="0"/>
    </xf>
    <xf numFmtId="189" fontId="4" fillId="0" borderId="0" applyFill="0" applyBorder="0">
      <alignment vertical="top"/>
      <protection locked="0"/>
    </xf>
    <xf numFmtId="190" fontId="4" fillId="0" borderId="0" applyFill="0" applyBorder="0">
      <alignment vertical="top"/>
      <protection locked="0"/>
    </xf>
    <xf numFmtId="191" fontId="4" fillId="0" borderId="0" applyFill="0" applyBorder="0">
      <alignment vertical="top"/>
      <protection locked="0"/>
    </xf>
    <xf numFmtId="192" fontId="4" fillId="0" borderId="0" applyFill="0" applyBorder="0">
      <alignment vertical="top"/>
      <protection locked="0"/>
    </xf>
    <xf numFmtId="49" fontId="4" fillId="0" borderId="0" applyFill="0" applyBorder="0">
      <alignment horizontal="left" vertical="top"/>
      <protection locked="0"/>
    </xf>
    <xf numFmtId="49" fontId="4" fillId="0" borderId="0" applyFill="0" applyBorder="0">
      <alignment horizontal="left" vertical="top" indent="1"/>
      <protection locked="0"/>
    </xf>
    <xf numFmtId="49" fontId="4" fillId="0" borderId="0" applyFill="0" applyBorder="0">
      <alignment horizontal="left" vertical="top" indent="2"/>
      <protection locked="0"/>
    </xf>
    <xf numFmtId="49" fontId="4" fillId="0" borderId="0" applyFill="0" applyBorder="0">
      <alignment horizontal="left" vertical="top" indent="3"/>
      <protection locked="0"/>
    </xf>
    <xf numFmtId="49" fontId="4" fillId="0" borderId="0" applyFill="0" applyBorder="0">
      <alignment horizontal="left" vertical="top" indent="4"/>
      <protection locked="0"/>
    </xf>
    <xf numFmtId="49" fontId="4" fillId="0" borderId="0" applyFill="0" applyBorder="0">
      <alignment horizontal="center"/>
      <protection locked="0"/>
    </xf>
    <xf numFmtId="49" fontId="4" fillId="0" borderId="0" applyFill="0" applyBorder="0">
      <alignment horizontal="center" wrapText="1"/>
      <protection locked="0"/>
    </xf>
    <xf numFmtId="49" fontId="5" fillId="0" borderId="0" applyFill="0" applyBorder="0">
      <alignment vertical="top"/>
    </xf>
    <xf numFmtId="0" fontId="5" fillId="0" borderId="0" applyFill="0" applyBorder="0">
      <alignment vertical="top" wrapText="1"/>
    </xf>
    <xf numFmtId="0" fontId="3" fillId="0" borderId="0" applyFill="0" applyBorder="0">
      <alignment vertical="top"/>
    </xf>
    <xf numFmtId="0" fontId="3" fillId="0" borderId="0" applyFill="0" applyBorder="0">
      <alignment horizontal="left" vertical="top" indent="1"/>
    </xf>
    <xf numFmtId="0" fontId="3" fillId="0" borderId="0" applyFill="0" applyBorder="0">
      <alignment horizontal="left" vertical="top" indent="2"/>
    </xf>
    <xf numFmtId="0" fontId="3" fillId="0" borderId="0" applyFill="0" applyBorder="0">
      <alignment horizontal="left" vertical="top" indent="3"/>
    </xf>
    <xf numFmtId="0" fontId="5" fillId="0" borderId="0" applyFill="0" applyBorder="0">
      <alignment vertical="top"/>
    </xf>
    <xf numFmtId="0" fontId="5" fillId="0" borderId="0" applyFill="0" applyBorder="0">
      <alignment horizontal="left" vertical="top" indent="1"/>
    </xf>
    <xf numFmtId="0" fontId="5" fillId="0" borderId="0" applyFill="0" applyBorder="0">
      <alignment horizontal="left" vertical="top" indent="2"/>
    </xf>
    <xf numFmtId="0" fontId="5" fillId="0" borderId="0" applyFill="0" applyBorder="0">
      <alignment horizontal="left" vertical="top" indent="3"/>
    </xf>
    <xf numFmtId="0" fontId="5" fillId="0" borderId="0" applyFill="0" applyBorder="0">
      <alignment horizontal="left" vertical="top" indent="4"/>
    </xf>
    <xf numFmtId="177" fontId="8" fillId="0" borderId="0" applyFill="0" applyBorder="0">
      <alignment horizontal="center"/>
    </xf>
    <xf numFmtId="0" fontId="8" fillId="0" borderId="0" applyFill="0" applyBorder="0">
      <alignment horizontal="center"/>
    </xf>
    <xf numFmtId="0" fontId="8" fillId="2" borderId="0" applyFill="0" applyBorder="0">
      <alignment horizontal="left"/>
    </xf>
    <xf numFmtId="0" fontId="8" fillId="0" borderId="0" applyFill="0" applyBorder="0">
      <alignment horizontal="center" wrapText="1"/>
    </xf>
  </cellStyleXfs>
  <cellXfs count="4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5" fillId="0" borderId="3" xfId="0" applyFont="1" applyBorder="1"/>
    <xf numFmtId="0" fontId="0" fillId="0" borderId="0" xfId="0" applyFill="1" applyBorder="1"/>
    <xf numFmtId="0" fontId="3" fillId="0" borderId="0" xfId="78">
      <alignment vertical="top"/>
    </xf>
    <xf numFmtId="0" fontId="5" fillId="0" borderId="0" xfId="83">
      <alignment horizontal="left" vertical="top" indent="1"/>
    </xf>
    <xf numFmtId="0" fontId="4" fillId="0" borderId="0" xfId="55">
      <alignment vertical="top" wrapText="1"/>
      <protection locked="0"/>
    </xf>
    <xf numFmtId="0" fontId="5" fillId="0" borderId="0" xfId="84">
      <alignment horizontal="left" vertical="top" indent="2"/>
    </xf>
    <xf numFmtId="0" fontId="5" fillId="0" borderId="0" xfId="83" applyBorder="1">
      <alignment horizontal="left" vertical="top" indent="1"/>
    </xf>
    <xf numFmtId="0" fontId="5" fillId="0" borderId="0" xfId="84" applyBorder="1">
      <alignment horizontal="left" vertical="top" indent="2"/>
    </xf>
    <xf numFmtId="49" fontId="4" fillId="0" borderId="0" xfId="69">
      <alignment horizontal="left" vertical="top"/>
      <protection locked="0"/>
    </xf>
    <xf numFmtId="0" fontId="3" fillId="0" borderId="0" xfId="78" applyBorder="1">
      <alignment vertical="top"/>
    </xf>
    <xf numFmtId="0" fontId="3" fillId="0" borderId="0" xfId="79" applyBorder="1">
      <alignment horizontal="left" vertical="top" indent="1"/>
    </xf>
    <xf numFmtId="168" fontId="4" fillId="0" borderId="1" xfId="43" applyBorder="1">
      <alignment vertical="top"/>
      <protection locked="0"/>
    </xf>
    <xf numFmtId="0" fontId="3" fillId="0" borderId="0" xfId="80" applyBorder="1">
      <alignment horizontal="left" vertical="top" indent="2"/>
    </xf>
    <xf numFmtId="0" fontId="3" fillId="0" borderId="0" xfId="79">
      <alignment horizontal="left" vertical="top" indent="1"/>
    </xf>
    <xf numFmtId="0" fontId="10" fillId="3" borderId="5" xfId="30" applyFill="1" applyBorder="1">
      <alignment vertical="top"/>
    </xf>
    <xf numFmtId="0" fontId="0" fillId="3" borderId="6" xfId="0" applyFill="1" applyBorder="1"/>
    <xf numFmtId="0" fontId="8" fillId="3" borderId="6" xfId="89" applyFill="1" applyBorder="1">
      <alignment horizontal="left"/>
    </xf>
    <xf numFmtId="0" fontId="0" fillId="3" borderId="7" xfId="0" applyFill="1" applyBorder="1"/>
    <xf numFmtId="0" fontId="10" fillId="3" borderId="3" xfId="30" applyFill="1" applyBorder="1">
      <alignment vertical="top"/>
    </xf>
    <xf numFmtId="0" fontId="0" fillId="3" borderId="0" xfId="0" applyFill="1" applyBorder="1"/>
    <xf numFmtId="0" fontId="8" fillId="3" borderId="0" xfId="89" applyFill="1" applyBorder="1">
      <alignment horizontal="left"/>
    </xf>
    <xf numFmtId="0" fontId="0" fillId="3" borderId="1" xfId="0" applyFill="1" applyBorder="1"/>
    <xf numFmtId="0" fontId="11" fillId="3" borderId="3" xfId="31" applyFill="1" applyBorder="1">
      <alignment vertical="top"/>
    </xf>
    <xf numFmtId="0" fontId="8" fillId="3" borderId="2" xfId="90" applyFill="1" applyBorder="1">
      <alignment horizontal="center" wrapText="1"/>
    </xf>
    <xf numFmtId="0" fontId="3" fillId="3" borderId="3" xfId="0" applyFont="1" applyFill="1" applyBorder="1"/>
    <xf numFmtId="0" fontId="3" fillId="3" borderId="4" xfId="0" applyFont="1" applyFill="1" applyBorder="1"/>
    <xf numFmtId="0" fontId="0" fillId="3" borderId="2" xfId="0" applyFill="1" applyBorder="1"/>
    <xf numFmtId="0" fontId="8" fillId="3" borderId="3" xfId="89" applyFill="1" applyBorder="1">
      <alignment horizontal="left"/>
    </xf>
    <xf numFmtId="0" fontId="0" fillId="3" borderId="4" xfId="0" applyFill="1" applyBorder="1"/>
    <xf numFmtId="0" fontId="0" fillId="3" borderId="8" xfId="0" applyFill="1" applyBorder="1"/>
    <xf numFmtId="0" fontId="0" fillId="0" borderId="8" xfId="0" applyBorder="1"/>
    <xf numFmtId="0" fontId="8" fillId="3" borderId="4" xfId="90" applyFill="1" applyBorder="1">
      <alignment horizontal="center" wrapText="1"/>
    </xf>
    <xf numFmtId="0" fontId="8" fillId="3" borderId="8" xfId="90" applyFill="1" applyBorder="1">
      <alignment horizontal="center" wrapText="1"/>
    </xf>
    <xf numFmtId="164" fontId="5" fillId="0" borderId="0" xfId="1" applyBorder="1">
      <alignment vertical="top"/>
    </xf>
    <xf numFmtId="164" fontId="5" fillId="0" borderId="0" xfId="1">
      <alignment vertical="top"/>
    </xf>
  </cellXfs>
  <cellStyles count="91">
    <cellStyle name="cc0 -CalComma" xfId="1" xr:uid="{00000000-0005-0000-0000-000000000000}"/>
    <cellStyle name="cc0k -CalCommaThousand" xfId="2" xr:uid="{00000000-0005-0000-0000-000001000000}"/>
    <cellStyle name="cc0m -CalCommaMillion" xfId="3" xr:uid="{00000000-0005-0000-0000-000002000000}"/>
    <cellStyle name="cc1 -CalComma" xfId="4" xr:uid="{00000000-0005-0000-0000-000003000000}"/>
    <cellStyle name="cc2 -CalComma" xfId="5" xr:uid="{00000000-0005-0000-0000-000004000000}"/>
    <cellStyle name="cc3 -CalComma" xfId="6" xr:uid="{00000000-0005-0000-0000-000005000000}"/>
    <cellStyle name="cc4 -CalComma" xfId="7" xr:uid="{00000000-0005-0000-0000-000006000000}"/>
    <cellStyle name="cdDMM -CalDate" xfId="8" xr:uid="{00000000-0005-0000-0000-000007000000}"/>
    <cellStyle name="cdDMMY -CalDate" xfId="9" xr:uid="{00000000-0005-0000-0000-000008000000}"/>
    <cellStyle name="cdDMMYHM -CalDateTime" xfId="10" xr:uid="{00000000-0005-0000-0000-000009000000}"/>
    <cellStyle name="cdDMY -CalDate" xfId="11" xr:uid="{00000000-0005-0000-0000-00000A000000}"/>
    <cellStyle name="cdMDY -CalDate" xfId="12" xr:uid="{00000000-0005-0000-0000-00000B000000}"/>
    <cellStyle name="cdMMY -CalDate" xfId="13" xr:uid="{00000000-0005-0000-0000-00000C000000}"/>
    <cellStyle name="cdMMYc-CalDateC" xfId="14" xr:uid="{00000000-0005-0000-0000-00000D000000}"/>
    <cellStyle name="cf0 -CalFixed" xfId="15" xr:uid="{00000000-0005-0000-0000-00000E000000}"/>
    <cellStyle name="cmHM  -CalTime" xfId="16" xr:uid="{00000000-0005-0000-0000-00000F000000}"/>
    <cellStyle name="cmHM24+ -CalTime" xfId="17" xr:uid="{00000000-0005-0000-0000-000010000000}"/>
    <cellStyle name="cp0 -CalPercent" xfId="18" xr:uid="{00000000-0005-0000-0000-000011000000}"/>
    <cellStyle name="cp1 -CalPercent" xfId="19" xr:uid="{00000000-0005-0000-0000-000012000000}"/>
    <cellStyle name="cp2 -CalPercent" xfId="20" xr:uid="{00000000-0005-0000-0000-000013000000}"/>
    <cellStyle name="cp3 -CalPercent" xfId="21" xr:uid="{00000000-0005-0000-0000-000014000000}"/>
    <cellStyle name="cr0 -CalCurr" xfId="22" xr:uid="{00000000-0005-0000-0000-000015000000}"/>
    <cellStyle name="cr0k -CalCurrThousand" xfId="23" xr:uid="{00000000-0005-0000-0000-000016000000}"/>
    <cellStyle name="cr0m -CalCurrMillion" xfId="24" xr:uid="{00000000-0005-0000-0000-000017000000}"/>
    <cellStyle name="cr1 -CalCurr" xfId="25" xr:uid="{00000000-0005-0000-0000-000018000000}"/>
    <cellStyle name="cr2 -CalCurr" xfId="26" xr:uid="{00000000-0005-0000-0000-000019000000}"/>
    <cellStyle name="cr3 -CalCurr" xfId="27" xr:uid="{00000000-0005-0000-0000-00001A000000}"/>
    <cellStyle name="cr4 -CalCurr" xfId="28" xr:uid="{00000000-0005-0000-0000-00001B000000}"/>
    <cellStyle name="h0 -Heading" xfId="29" xr:uid="{00000000-0005-0000-0000-00001C000000}"/>
    <cellStyle name="h1 -Heading" xfId="30" xr:uid="{00000000-0005-0000-0000-00001D000000}"/>
    <cellStyle name="h2 -Heading" xfId="31" xr:uid="{00000000-0005-0000-0000-00001E000000}"/>
    <cellStyle name="h3 -Heading" xfId="32" xr:uid="{00000000-0005-0000-0000-00001F000000}"/>
    <cellStyle name="hp0 -Hyperlink" xfId="33" xr:uid="{00000000-0005-0000-0000-000020000000}"/>
    <cellStyle name="hp1 -Hyperlink" xfId="34" xr:uid="{00000000-0005-0000-0000-000021000000}"/>
    <cellStyle name="hp2 -Hyperlink" xfId="35" xr:uid="{00000000-0005-0000-0000-000022000000}"/>
    <cellStyle name="hp3 -Hyperlink" xfId="36" xr:uid="{00000000-0005-0000-0000-000023000000}"/>
    <cellStyle name="ic0 -InpComma" xfId="37" xr:uid="{00000000-0005-0000-0000-000024000000}"/>
    <cellStyle name="ic0k -InpCommaThousand" xfId="38" xr:uid="{00000000-0005-0000-0000-000025000000}"/>
    <cellStyle name="ic0m -InpCommaMillion" xfId="39" xr:uid="{00000000-0005-0000-0000-000026000000}"/>
    <cellStyle name="ic1 -InpComma" xfId="40" xr:uid="{00000000-0005-0000-0000-000027000000}"/>
    <cellStyle name="ic2 -InpComma" xfId="41" xr:uid="{00000000-0005-0000-0000-000028000000}"/>
    <cellStyle name="ic3 -InpComma" xfId="42" xr:uid="{00000000-0005-0000-0000-000029000000}"/>
    <cellStyle name="ic4 -InpComma" xfId="43" xr:uid="{00000000-0005-0000-0000-00002A000000}"/>
    <cellStyle name="idDMM -InpDate" xfId="44" xr:uid="{00000000-0005-0000-0000-00002B000000}"/>
    <cellStyle name="idDMMY -InpDate" xfId="45" xr:uid="{00000000-0005-0000-0000-00002C000000}"/>
    <cellStyle name="idDMMYHM -InpDateTime" xfId="46" xr:uid="{00000000-0005-0000-0000-00002D000000}"/>
    <cellStyle name="idDMY -InpDate" xfId="47" xr:uid="{00000000-0005-0000-0000-00002E000000}"/>
    <cellStyle name="idMDY -InpDate" xfId="48" xr:uid="{00000000-0005-0000-0000-00002F000000}"/>
    <cellStyle name="idMMY -InpDate" xfId="49" xr:uid="{00000000-0005-0000-0000-000030000000}"/>
    <cellStyle name="if0 -InpFixed" xfId="50" xr:uid="{00000000-0005-0000-0000-000031000000}"/>
    <cellStyle name="if0b-InpFixedB" xfId="51" xr:uid="{00000000-0005-0000-0000-000032000000}"/>
    <cellStyle name="if0-InpFixed" xfId="52" xr:uid="{00000000-0005-0000-0000-000033000000}"/>
    <cellStyle name="iln -InpTableTextNoWrap" xfId="53" xr:uid="{00000000-0005-0000-0000-000034000000}"/>
    <cellStyle name="ilnb-InpTableTextNoWrapB" xfId="54" xr:uid="{00000000-0005-0000-0000-000035000000}"/>
    <cellStyle name="ilw -InpTableTextWrap" xfId="55" xr:uid="{00000000-0005-0000-0000-000036000000}"/>
    <cellStyle name="imHM  -InpTime" xfId="56" xr:uid="{00000000-0005-0000-0000-000037000000}"/>
    <cellStyle name="imHM24+ -InpTime" xfId="57" xr:uid="{00000000-0005-0000-0000-000038000000}"/>
    <cellStyle name="ip0 -InpPercent" xfId="58" xr:uid="{00000000-0005-0000-0000-000039000000}"/>
    <cellStyle name="ip1 -InpPercent" xfId="59" xr:uid="{00000000-0005-0000-0000-00003A000000}"/>
    <cellStyle name="ip2 -InpPercent" xfId="60" xr:uid="{00000000-0005-0000-0000-00003B000000}"/>
    <cellStyle name="ip3 -InpPercent" xfId="61" xr:uid="{00000000-0005-0000-0000-00003C000000}"/>
    <cellStyle name="ir0 -InpCurr" xfId="62" xr:uid="{00000000-0005-0000-0000-00003D000000}"/>
    <cellStyle name="ir0k -InpCurrThousand" xfId="63" xr:uid="{00000000-0005-0000-0000-00003E000000}"/>
    <cellStyle name="ir0m -InpCurrMillion" xfId="64" xr:uid="{00000000-0005-0000-0000-00003F000000}"/>
    <cellStyle name="ir1 -InpCurr" xfId="65" xr:uid="{00000000-0005-0000-0000-000040000000}"/>
    <cellStyle name="ir2 -InpCurr" xfId="66" xr:uid="{00000000-0005-0000-0000-000041000000}"/>
    <cellStyle name="ir3 -InpCurr" xfId="67" xr:uid="{00000000-0005-0000-0000-000042000000}"/>
    <cellStyle name="ir4 -InpCurr" xfId="68" xr:uid="{00000000-0005-0000-0000-000043000000}"/>
    <cellStyle name="is0 -InpSideText" xfId="69" xr:uid="{00000000-0005-0000-0000-000044000000}"/>
    <cellStyle name="is1 -InpSideText" xfId="70" xr:uid="{00000000-0005-0000-0000-000045000000}"/>
    <cellStyle name="is2 -InpSideText" xfId="71" xr:uid="{00000000-0005-0000-0000-000046000000}"/>
    <cellStyle name="is3 -InpSideText" xfId="72" xr:uid="{00000000-0005-0000-0000-000047000000}"/>
    <cellStyle name="is4 -InpSideText" xfId="73" xr:uid="{00000000-0005-0000-0000-000048000000}"/>
    <cellStyle name="itn -InpTopTextNoWrap" xfId="74" xr:uid="{00000000-0005-0000-0000-000049000000}"/>
    <cellStyle name="itw -InpTopTextWrap" xfId="75" xr:uid="{00000000-0005-0000-0000-00004A000000}"/>
    <cellStyle name="ltn -TableTextNoWrap" xfId="76" xr:uid="{00000000-0005-0000-0000-00004B000000}"/>
    <cellStyle name="ltw -TableTextWrap" xfId="77" xr:uid="{00000000-0005-0000-0000-00004C000000}"/>
    <cellStyle name="Normal" xfId="0" builtinId="0"/>
    <cellStyle name="sh0 -SideHeading" xfId="78" xr:uid="{00000000-0005-0000-0000-00004E000000}"/>
    <cellStyle name="sh1 -SideHeading" xfId="79" xr:uid="{00000000-0005-0000-0000-00004F000000}"/>
    <cellStyle name="sh2 -SideHeading" xfId="80" xr:uid="{00000000-0005-0000-0000-000050000000}"/>
    <cellStyle name="sh3 -SideHeading" xfId="81" xr:uid="{00000000-0005-0000-0000-000051000000}"/>
    <cellStyle name="st0 -SideText" xfId="82" xr:uid="{00000000-0005-0000-0000-000052000000}"/>
    <cellStyle name="st1 -SideText" xfId="83" xr:uid="{00000000-0005-0000-0000-000053000000}"/>
    <cellStyle name="st2 -SideText" xfId="84" xr:uid="{00000000-0005-0000-0000-000054000000}"/>
    <cellStyle name="st3 -SideText" xfId="85" xr:uid="{00000000-0005-0000-0000-000055000000}"/>
    <cellStyle name="st4 -SideText" xfId="86" xr:uid="{00000000-0005-0000-0000-000056000000}"/>
    <cellStyle name="tdMMYc-TopDateC" xfId="87" xr:uid="{00000000-0005-0000-0000-000057000000}"/>
    <cellStyle name="ttn -TopTextNoWrap" xfId="88" xr:uid="{00000000-0005-0000-0000-000058000000}"/>
    <cellStyle name="ttnl -TopTextNoWrapL" xfId="89" xr:uid="{00000000-0005-0000-0000-000059000000}"/>
    <cellStyle name="ttw -TopTextWrap" xfId="90" xr:uid="{00000000-0005-0000-0000-00005A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B800"/>
      <rgbColor rgb="0066E2FF"/>
      <rgbColor rgb="00D5D000"/>
      <rgbColor rgb="00FFB9FF"/>
      <rgbColor rgb="00CDFFCD"/>
      <rgbColor rgb="00D8D8D8"/>
      <rgbColor rgb="00D7E4BC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F2F2F2"/>
      <rgbColor rgb="00CCFFFF"/>
      <rgbColor rgb="00D7E4BC"/>
      <rgbColor rgb="00FFFF85"/>
      <rgbColor rgb="00BDDEFF"/>
      <rgbColor rgb="00FF99CC"/>
      <rgbColor rgb="00CC99FF"/>
      <rgbColor rgb="00FF8080"/>
      <rgbColor rgb="007596FF"/>
      <rgbColor rgb="0000FF99"/>
      <rgbColor rgb="00E7E200"/>
      <rgbColor rgb="00FFA080"/>
      <rgbColor rgb="00FFA143"/>
      <rgbColor rgb="00FF7E2F"/>
      <rgbColor rgb="00E6B9B8"/>
      <rgbColor rgb="00BFBFBF"/>
      <rgbColor rgb="009BBB59"/>
      <rgbColor rgb="0000DA00"/>
      <rgbColor rgb="00009A00"/>
      <rgbColor rgb="00B8B400"/>
      <rgbColor rgb="00FF4820"/>
      <rgbColor rgb="00CACADC"/>
      <rgbColor rgb="00C2D69A"/>
      <rgbColor rgb="001C1C1C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9525</xdr:colOff>
      <xdr:row>38</xdr:row>
      <xdr:rowOff>71437</xdr:rowOff>
    </xdr:from>
    <xdr:to>
      <xdr:col>12</xdr:col>
      <xdr:colOff>309562</xdr:colOff>
      <xdr:row>38</xdr:row>
      <xdr:rowOff>76200</xdr:rowOff>
    </xdr:to>
    <xdr:cxnSp macro="">
      <xdr:nvCxnSpPr>
        <xdr:cNvPr id="22" name="ESPTextArrowA5">
          <a:extLst>
            <a:ext uri="{FF2B5EF4-FFF2-40B4-BE49-F238E27FC236}">
              <a16:creationId xmlns:a16="http://schemas.microsoft.com/office/drawing/2014/main" id="{D8DEECEB-D8F4-DC2A-ACBC-F8B75964F706}"/>
            </a:ext>
          </a:extLst>
        </xdr:cNvPr>
        <xdr:cNvCxnSpPr/>
      </xdr:nvCxnSpPr>
      <xdr:spPr>
        <a:xfrm flipV="1">
          <a:off x="9282113" y="5086350"/>
          <a:ext cx="300037" cy="4763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57150</xdr:colOff>
      <xdr:row>36</xdr:row>
      <xdr:rowOff>57150</xdr:rowOff>
    </xdr:from>
    <xdr:to>
      <xdr:col>12</xdr:col>
      <xdr:colOff>366712</xdr:colOff>
      <xdr:row>36</xdr:row>
      <xdr:rowOff>61912</xdr:rowOff>
    </xdr:to>
    <xdr:cxnSp macro="">
      <xdr:nvCxnSpPr>
        <xdr:cNvPr id="17" name="ESPTextArrowA4">
          <a:extLst>
            <a:ext uri="{FF2B5EF4-FFF2-40B4-BE49-F238E27FC236}">
              <a16:creationId xmlns:a16="http://schemas.microsoft.com/office/drawing/2014/main" id="{8036BA5B-BB0A-8516-21CF-C169B5CC515F}"/>
            </a:ext>
          </a:extLst>
        </xdr:cNvPr>
        <xdr:cNvCxnSpPr>
          <a:endCxn id="18" idx="1"/>
        </xdr:cNvCxnSpPr>
      </xdr:nvCxnSpPr>
      <xdr:spPr>
        <a:xfrm flipV="1">
          <a:off x="9329738" y="4814888"/>
          <a:ext cx="309562" cy="4762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822325</xdr:colOff>
      <xdr:row>34</xdr:row>
      <xdr:rowOff>47625</xdr:rowOff>
    </xdr:from>
    <xdr:to>
      <xdr:col>12</xdr:col>
      <xdr:colOff>271463</xdr:colOff>
      <xdr:row>34</xdr:row>
      <xdr:rowOff>103187</xdr:rowOff>
    </xdr:to>
    <xdr:cxnSp macro="">
      <xdr:nvCxnSpPr>
        <xdr:cNvPr id="13" name="ESPTextArrowA3">
          <a:extLst>
            <a:ext uri="{FF2B5EF4-FFF2-40B4-BE49-F238E27FC236}">
              <a16:creationId xmlns:a16="http://schemas.microsoft.com/office/drawing/2014/main" id="{F377F59F-D7D0-2B0C-ABD6-0440EC865C19}"/>
            </a:ext>
          </a:extLst>
        </xdr:cNvPr>
        <xdr:cNvCxnSpPr>
          <a:endCxn id="14" idx="1"/>
        </xdr:cNvCxnSpPr>
      </xdr:nvCxnSpPr>
      <xdr:spPr>
        <a:xfrm flipV="1">
          <a:off x="9247188" y="4548188"/>
          <a:ext cx="296863" cy="55562"/>
        </a:xfrm>
        <a:prstGeom prst="line">
          <a:avLst/>
        </a:prstGeom>
        <a:ln w="9525" cmpd="sng">
          <a:noFill/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822325</xdr:colOff>
      <xdr:row>32</xdr:row>
      <xdr:rowOff>85725</xdr:rowOff>
    </xdr:from>
    <xdr:to>
      <xdr:col>12</xdr:col>
      <xdr:colOff>238125</xdr:colOff>
      <xdr:row>32</xdr:row>
      <xdr:rowOff>103187</xdr:rowOff>
    </xdr:to>
    <xdr:cxnSp macro="">
      <xdr:nvCxnSpPr>
        <xdr:cNvPr id="10" name="ESPTextArrowA2">
          <a:extLst>
            <a:ext uri="{FF2B5EF4-FFF2-40B4-BE49-F238E27FC236}">
              <a16:creationId xmlns:a16="http://schemas.microsoft.com/office/drawing/2014/main" id="{D079EAA4-6617-6B7D-EB69-1DF5C4FD19DE}"/>
            </a:ext>
          </a:extLst>
        </xdr:cNvPr>
        <xdr:cNvCxnSpPr>
          <a:endCxn id="11" idx="1"/>
        </xdr:cNvCxnSpPr>
      </xdr:nvCxnSpPr>
      <xdr:spPr>
        <a:xfrm flipV="1">
          <a:off x="9247188" y="4329113"/>
          <a:ext cx="263525" cy="17462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822325</xdr:colOff>
      <xdr:row>27</xdr:row>
      <xdr:rowOff>114300</xdr:rowOff>
    </xdr:from>
    <xdr:to>
      <xdr:col>12</xdr:col>
      <xdr:colOff>247650</xdr:colOff>
      <xdr:row>28</xdr:row>
      <xdr:rowOff>103187</xdr:rowOff>
    </xdr:to>
    <xdr:cxnSp macro="">
      <xdr:nvCxnSpPr>
        <xdr:cNvPr id="2" name="ESPTextArrowA1">
          <a:extLst>
            <a:ext uri="{FF2B5EF4-FFF2-40B4-BE49-F238E27FC236}">
              <a16:creationId xmlns:a16="http://schemas.microsoft.com/office/drawing/2014/main" id="{52D06FFD-2697-E205-B708-4A951416E9CF}"/>
            </a:ext>
          </a:extLst>
        </xdr:cNvPr>
        <xdr:cNvCxnSpPr/>
      </xdr:nvCxnSpPr>
      <xdr:spPr>
        <a:xfrm flipV="1">
          <a:off x="9247188" y="3714750"/>
          <a:ext cx="273050" cy="117475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261937</xdr:colOff>
      <xdr:row>26</xdr:row>
      <xdr:rowOff>23813</xdr:rowOff>
    </xdr:from>
    <xdr:to>
      <xdr:col>16</xdr:col>
      <xdr:colOff>79057</xdr:colOff>
      <xdr:row>27</xdr:row>
      <xdr:rowOff>100013</xdr:rowOff>
    </xdr:to>
    <xdr:sp macro="" textlink="">
      <xdr:nvSpPr>
        <xdr:cNvPr id="3" name="ESPTextArrowT1">
          <a:extLst>
            <a:ext uri="{FF2B5EF4-FFF2-40B4-BE49-F238E27FC236}">
              <a16:creationId xmlns:a16="http://schemas.microsoft.com/office/drawing/2014/main" id="{D5989818-7B39-6B13-189B-EA9F0F58E38A}"/>
            </a:ext>
          </a:extLst>
        </xdr:cNvPr>
        <xdr:cNvSpPr txBox="1"/>
      </xdr:nvSpPr>
      <xdr:spPr>
        <a:xfrm>
          <a:off x="8686800" y="3538538"/>
          <a:ext cx="2693670" cy="161925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=SUMIFS($N$14:$N$27,$L$14:$L$27,"Electronics")</a:t>
          </a:r>
        </a:p>
      </xdr:txBody>
    </xdr:sp>
    <xdr:clientData/>
  </xdr:twoCellAnchor>
  <xdr:twoCellAnchor>
    <xdr:from>
      <xdr:col>12</xdr:col>
      <xdr:colOff>133349</xdr:colOff>
      <xdr:row>29</xdr:row>
      <xdr:rowOff>109538</xdr:rowOff>
    </xdr:from>
    <xdr:to>
      <xdr:col>17</xdr:col>
      <xdr:colOff>188594</xdr:colOff>
      <xdr:row>31</xdr:row>
      <xdr:rowOff>14288</xdr:rowOff>
    </xdr:to>
    <xdr:sp macro="" textlink="">
      <xdr:nvSpPr>
        <xdr:cNvPr id="5" name="ESPTextArrowT1">
          <a:extLst>
            <a:ext uri="{FF2B5EF4-FFF2-40B4-BE49-F238E27FC236}">
              <a16:creationId xmlns:a16="http://schemas.microsoft.com/office/drawing/2014/main" id="{A478D60C-8CB1-4E7E-43C8-5FAAEB8C0D38}"/>
            </a:ext>
          </a:extLst>
        </xdr:cNvPr>
        <xdr:cNvSpPr txBox="1"/>
      </xdr:nvSpPr>
      <xdr:spPr>
        <a:xfrm>
          <a:off x="9405937" y="3967163"/>
          <a:ext cx="2693670" cy="161925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=SUMIFS($N$14:$N$27,$L$14:$L$27,"Clothing*")</a:t>
          </a:r>
        </a:p>
      </xdr:txBody>
    </xdr:sp>
    <xdr:clientData/>
  </xdr:twoCellAnchor>
  <xdr:twoCellAnchor>
    <xdr:from>
      <xdr:col>11</xdr:col>
      <xdr:colOff>809625</xdr:colOff>
      <xdr:row>30</xdr:row>
      <xdr:rowOff>57150</xdr:rowOff>
    </xdr:from>
    <xdr:to>
      <xdr:col>12</xdr:col>
      <xdr:colOff>133349</xdr:colOff>
      <xdr:row>30</xdr:row>
      <xdr:rowOff>61913</xdr:rowOff>
    </xdr:to>
    <xdr:cxnSp macro="">
      <xdr:nvCxnSpPr>
        <xdr:cNvPr id="6" name="ESPTextArrowA1">
          <a:extLst>
            <a:ext uri="{FF2B5EF4-FFF2-40B4-BE49-F238E27FC236}">
              <a16:creationId xmlns:a16="http://schemas.microsoft.com/office/drawing/2014/main" id="{CC617929-716E-A7A6-E3E9-39B7981D1681}"/>
            </a:ext>
          </a:extLst>
        </xdr:cNvPr>
        <xdr:cNvCxnSpPr>
          <a:endCxn id="5" idx="1"/>
        </xdr:cNvCxnSpPr>
      </xdr:nvCxnSpPr>
      <xdr:spPr>
        <a:xfrm>
          <a:off x="9234488" y="4043363"/>
          <a:ext cx="171449" cy="4763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238125</xdr:colOff>
      <xdr:row>32</xdr:row>
      <xdr:rowOff>4762</xdr:rowOff>
    </xdr:from>
    <xdr:to>
      <xdr:col>18</xdr:col>
      <xdr:colOff>11430</xdr:colOff>
      <xdr:row>33</xdr:row>
      <xdr:rowOff>38100</xdr:rowOff>
    </xdr:to>
    <xdr:sp macro="" textlink="">
      <xdr:nvSpPr>
        <xdr:cNvPr id="11" name="ESPTextArrowT2">
          <a:extLst>
            <a:ext uri="{FF2B5EF4-FFF2-40B4-BE49-F238E27FC236}">
              <a16:creationId xmlns:a16="http://schemas.microsoft.com/office/drawing/2014/main" id="{7F43F6A4-48D1-1D01-D7F8-63B8EAACAE76}"/>
            </a:ext>
          </a:extLst>
        </xdr:cNvPr>
        <xdr:cNvSpPr txBox="1"/>
      </xdr:nvSpPr>
      <xdr:spPr>
        <a:xfrm>
          <a:off x="9510713" y="4248150"/>
          <a:ext cx="3021330" cy="161925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=SUMIFS($N$14:$N$27,$L$14:$L$27,J33,$M$14:$M$27,I33)</a:t>
          </a:r>
        </a:p>
      </xdr:txBody>
    </xdr:sp>
    <xdr:clientData/>
  </xdr:twoCellAnchor>
  <xdr:twoCellAnchor>
    <xdr:from>
      <xdr:col>12</xdr:col>
      <xdr:colOff>271463</xdr:colOff>
      <xdr:row>33</xdr:row>
      <xdr:rowOff>95250</xdr:rowOff>
    </xdr:from>
    <xdr:to>
      <xdr:col>18</xdr:col>
      <xdr:colOff>44768</xdr:colOff>
      <xdr:row>35</xdr:row>
      <xdr:rowOff>0</xdr:rowOff>
    </xdr:to>
    <xdr:sp macro="" textlink="">
      <xdr:nvSpPr>
        <xdr:cNvPr id="14" name="ESPTextArrowT3">
          <a:extLst>
            <a:ext uri="{FF2B5EF4-FFF2-40B4-BE49-F238E27FC236}">
              <a16:creationId xmlns:a16="http://schemas.microsoft.com/office/drawing/2014/main" id="{1C9D41E0-4763-AC97-B3BE-8AA672266A41}"/>
            </a:ext>
          </a:extLst>
        </xdr:cNvPr>
        <xdr:cNvSpPr txBox="1"/>
      </xdr:nvSpPr>
      <xdr:spPr>
        <a:xfrm>
          <a:off x="9544051" y="4467225"/>
          <a:ext cx="3021330" cy="161925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=SUMIFS($N$14:$N$27,$L$14:$L$27,J35,$L$14:$L$27,I35)</a:t>
          </a:r>
        </a:p>
      </xdr:txBody>
    </xdr:sp>
    <xdr:clientData/>
  </xdr:twoCellAnchor>
  <xdr:twoCellAnchor>
    <xdr:from>
      <xdr:col>11</xdr:col>
      <xdr:colOff>827088</xdr:colOff>
      <xdr:row>34</xdr:row>
      <xdr:rowOff>57150</xdr:rowOff>
    </xdr:from>
    <xdr:to>
      <xdr:col>12</xdr:col>
      <xdr:colOff>242888</xdr:colOff>
      <xdr:row>34</xdr:row>
      <xdr:rowOff>74612</xdr:rowOff>
    </xdr:to>
    <xdr:cxnSp macro="">
      <xdr:nvCxnSpPr>
        <xdr:cNvPr id="16" name="ESPTextArrowA2">
          <a:extLst>
            <a:ext uri="{FF2B5EF4-FFF2-40B4-BE49-F238E27FC236}">
              <a16:creationId xmlns:a16="http://schemas.microsoft.com/office/drawing/2014/main" id="{6A0CB227-5D62-428E-9489-25CF4379F3C4}"/>
            </a:ext>
          </a:extLst>
        </xdr:cNvPr>
        <xdr:cNvCxnSpPr/>
      </xdr:nvCxnSpPr>
      <xdr:spPr>
        <a:xfrm flipV="1">
          <a:off x="9251951" y="4557713"/>
          <a:ext cx="263525" cy="17462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366712</xdr:colOff>
      <xdr:row>35</xdr:row>
      <xdr:rowOff>104775</xdr:rowOff>
    </xdr:from>
    <xdr:to>
      <xdr:col>16</xdr:col>
      <xdr:colOff>485457</xdr:colOff>
      <xdr:row>37</xdr:row>
      <xdr:rowOff>9525</xdr:rowOff>
    </xdr:to>
    <xdr:sp macro="" textlink="">
      <xdr:nvSpPr>
        <xdr:cNvPr id="18" name="ESPTextArrowT4">
          <a:extLst>
            <a:ext uri="{FF2B5EF4-FFF2-40B4-BE49-F238E27FC236}">
              <a16:creationId xmlns:a16="http://schemas.microsoft.com/office/drawing/2014/main" id="{4283CD6B-5A97-468E-66A1-335BECE7F2FF}"/>
            </a:ext>
          </a:extLst>
        </xdr:cNvPr>
        <xdr:cNvSpPr txBox="1"/>
      </xdr:nvSpPr>
      <xdr:spPr>
        <a:xfrm>
          <a:off x="9639300" y="4733925"/>
          <a:ext cx="2147570" cy="161925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=SUMIFS($N$14:$N$27,$K$14:$K$27,J37)</a:t>
          </a:r>
        </a:p>
      </xdr:txBody>
    </xdr:sp>
    <xdr:clientData/>
  </xdr:twoCellAnchor>
  <xdr:twoCellAnchor>
    <xdr:from>
      <xdr:col>12</xdr:col>
      <xdr:colOff>361950</xdr:colOff>
      <xdr:row>37</xdr:row>
      <xdr:rowOff>114300</xdr:rowOff>
    </xdr:from>
    <xdr:to>
      <xdr:col>16</xdr:col>
      <xdr:colOff>480695</xdr:colOff>
      <xdr:row>39</xdr:row>
      <xdr:rowOff>19050</xdr:rowOff>
    </xdr:to>
    <xdr:sp macro="" textlink="">
      <xdr:nvSpPr>
        <xdr:cNvPr id="23" name="ESPTextArrowT5">
          <a:extLst>
            <a:ext uri="{FF2B5EF4-FFF2-40B4-BE49-F238E27FC236}">
              <a16:creationId xmlns:a16="http://schemas.microsoft.com/office/drawing/2014/main" id="{18914E85-BED9-2335-25C6-D2F8AEDBBBCE}"/>
            </a:ext>
          </a:extLst>
        </xdr:cNvPr>
        <xdr:cNvSpPr txBox="1"/>
      </xdr:nvSpPr>
      <xdr:spPr>
        <a:xfrm>
          <a:off x="9634538" y="5000625"/>
          <a:ext cx="2147570" cy="161925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=SUMIFS($N$14:$N$27,$N$14:$N$27,J39)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indexed="12"/>
  </sheetPr>
  <dimension ref="A1:D81"/>
  <sheetViews>
    <sheetView workbookViewId="0">
      <pane xSplit="2" ySplit="4" topLeftCell="C6" activePane="bottomRight" state="frozen"/>
      <selection pane="topRight" activeCell="C1" sqref="C1"/>
      <selection pane="bottomLeft" activeCell="A5" sqref="A5"/>
      <selection pane="bottomRight" activeCell="C9" sqref="C9"/>
    </sheetView>
  </sheetViews>
  <sheetFormatPr defaultRowHeight="10.15" x14ac:dyDescent="0.3"/>
  <cols>
    <col min="1" max="1" width="7" customWidth="1"/>
    <col min="2" max="2" width="15.83203125" customWidth="1"/>
    <col min="3" max="3" width="96.5" customWidth="1"/>
    <col min="4" max="4" width="2.33203125" customWidth="1"/>
  </cols>
  <sheetData>
    <row r="1" spans="1:4" ht="15" x14ac:dyDescent="0.3">
      <c r="A1" s="20" t="s">
        <v>13</v>
      </c>
      <c r="B1" s="21"/>
      <c r="C1" s="21"/>
      <c r="D1" s="23"/>
    </row>
    <row r="2" spans="1:4" ht="15" x14ac:dyDescent="0.3">
      <c r="A2" s="24" t="str">
        <f>kAppName</f>
        <v>SUMIF examples</v>
      </c>
      <c r="B2" s="25"/>
      <c r="C2" s="25"/>
      <c r="D2" s="27"/>
    </row>
    <row r="3" spans="1:4" x14ac:dyDescent="0.3">
      <c r="A3" s="33" t="str">
        <f>"Version " &amp; kVersion</f>
        <v>Version 8-Sep-2010A</v>
      </c>
      <c r="B3" s="25"/>
      <c r="C3" s="25"/>
      <c r="D3" s="27"/>
    </row>
    <row r="4" spans="1:4" ht="10.5" thickBot="1" x14ac:dyDescent="0.35">
      <c r="A4" s="34"/>
      <c r="B4" s="35"/>
      <c r="C4" s="35"/>
      <c r="D4" s="32"/>
    </row>
    <row r="5" spans="1:4" x14ac:dyDescent="0.3">
      <c r="A5" s="8" t="s">
        <v>22</v>
      </c>
    </row>
    <row r="6" spans="1:4" x14ac:dyDescent="0.3">
      <c r="A6" s="9" t="s">
        <v>23</v>
      </c>
      <c r="C6" s="10" t="s">
        <v>55</v>
      </c>
    </row>
    <row r="7" spans="1:4" x14ac:dyDescent="0.3">
      <c r="A7" s="9" t="s">
        <v>11</v>
      </c>
      <c r="C7" s="10" t="s">
        <v>30</v>
      </c>
    </row>
    <row r="8" spans="1:4" x14ac:dyDescent="0.3">
      <c r="A8" s="9" t="s">
        <v>4</v>
      </c>
      <c r="C8" s="4" t="str">
        <f ca="1">SUBSTITUTE(LEFT(CELL("filename",C8),FIND("]",CELL("filename",C8))-1),"[","")</f>
        <v>C:\d\Sem\custom\Clients\MA\Coursefiles\2 Formulas\DepartmentStoreComplete.xlsm</v>
      </c>
    </row>
    <row r="9" spans="1:4" x14ac:dyDescent="0.3">
      <c r="A9" s="9" t="s">
        <v>5</v>
      </c>
      <c r="C9" t="str">
        <f>kVersion</f>
        <v>8-Sep-2010A</v>
      </c>
    </row>
    <row r="10" spans="1:4" x14ac:dyDescent="0.3">
      <c r="A10" s="9" t="s">
        <v>12</v>
      </c>
      <c r="C10" t="s">
        <v>31</v>
      </c>
    </row>
    <row r="11" spans="1:4" x14ac:dyDescent="0.3">
      <c r="A11" s="9" t="s">
        <v>14</v>
      </c>
      <c r="C11" s="10" t="s">
        <v>51</v>
      </c>
    </row>
    <row r="12" spans="1:4" x14ac:dyDescent="0.3">
      <c r="A12" s="9" t="s">
        <v>6</v>
      </c>
      <c r="C12" s="10" t="s">
        <v>51</v>
      </c>
    </row>
    <row r="13" spans="1:4" x14ac:dyDescent="0.3">
      <c r="A13" s="9" t="s">
        <v>20</v>
      </c>
    </row>
    <row r="14" spans="1:4" x14ac:dyDescent="0.3">
      <c r="A14" s="11" t="s">
        <v>16</v>
      </c>
      <c r="C14" s="10" t="s">
        <v>51</v>
      </c>
    </row>
    <row r="15" spans="1:4" x14ac:dyDescent="0.3">
      <c r="A15" s="11" t="s">
        <v>17</v>
      </c>
      <c r="C15" s="10" t="s">
        <v>51</v>
      </c>
    </row>
    <row r="16" spans="1:4" x14ac:dyDescent="0.3">
      <c r="A16" s="11" t="s">
        <v>21</v>
      </c>
      <c r="C16" s="10" t="s">
        <v>52</v>
      </c>
    </row>
    <row r="17" spans="1:3" x14ac:dyDescent="0.3">
      <c r="A17" s="11" t="s">
        <v>18</v>
      </c>
      <c r="C17" s="10" t="s">
        <v>51</v>
      </c>
    </row>
    <row r="18" spans="1:3" x14ac:dyDescent="0.3">
      <c r="A18" s="11" t="s">
        <v>19</v>
      </c>
      <c r="C18" s="10" t="s">
        <v>51</v>
      </c>
    </row>
    <row r="19" spans="1:3" x14ac:dyDescent="0.3">
      <c r="A19" s="12" t="s">
        <v>7</v>
      </c>
    </row>
    <row r="20" spans="1:3" x14ac:dyDescent="0.3">
      <c r="A20" s="13" t="s">
        <v>25</v>
      </c>
      <c r="C20" s="10" t="s">
        <v>51</v>
      </c>
    </row>
    <row r="21" spans="1:3" x14ac:dyDescent="0.3">
      <c r="A21" s="13" t="s">
        <v>26</v>
      </c>
      <c r="C21" s="10" t="s">
        <v>51</v>
      </c>
    </row>
    <row r="22" spans="1:3" x14ac:dyDescent="0.3">
      <c r="A22" s="13" t="s">
        <v>24</v>
      </c>
      <c r="C22" s="10" t="s">
        <v>51</v>
      </c>
    </row>
    <row r="23" spans="1:3" x14ac:dyDescent="0.3">
      <c r="A23" s="13" t="s">
        <v>27</v>
      </c>
      <c r="C23" s="10" t="s">
        <v>51</v>
      </c>
    </row>
    <row r="24" spans="1:3" x14ac:dyDescent="0.3">
      <c r="A24" s="13" t="s">
        <v>15</v>
      </c>
      <c r="C24" s="10" t="s">
        <v>51</v>
      </c>
    </row>
    <row r="25" spans="1:3" x14ac:dyDescent="0.3">
      <c r="A25" s="13" t="s">
        <v>28</v>
      </c>
      <c r="C25" s="10" t="s">
        <v>51</v>
      </c>
    </row>
    <row r="26" spans="1:3" x14ac:dyDescent="0.3">
      <c r="A26" s="12"/>
      <c r="C26" s="14"/>
    </row>
    <row r="27" spans="1:3" x14ac:dyDescent="0.3">
      <c r="A27" s="12"/>
      <c r="C27" s="14"/>
    </row>
    <row r="28" spans="1:3" x14ac:dyDescent="0.3">
      <c r="A28" s="4"/>
    </row>
    <row r="29" spans="1:3" x14ac:dyDescent="0.3">
      <c r="C29" s="14"/>
    </row>
    <row r="30" spans="1:3" x14ac:dyDescent="0.3">
      <c r="C30" s="14"/>
    </row>
    <row r="31" spans="1:3" x14ac:dyDescent="0.3">
      <c r="C31" s="14"/>
    </row>
    <row r="32" spans="1:3" x14ac:dyDescent="0.3">
      <c r="C32" s="14"/>
    </row>
    <row r="33" spans="1:3" x14ac:dyDescent="0.3">
      <c r="C33" s="14"/>
    </row>
    <row r="34" spans="1:3" x14ac:dyDescent="0.3">
      <c r="A34" s="15"/>
      <c r="B34" s="4"/>
    </row>
    <row r="35" spans="1:3" x14ac:dyDescent="0.3">
      <c r="A35" s="15"/>
      <c r="B35" s="4"/>
    </row>
    <row r="36" spans="1:3" x14ac:dyDescent="0.3">
      <c r="A36" s="16"/>
      <c r="B36" s="4"/>
    </row>
    <row r="37" spans="1:3" x14ac:dyDescent="0.3">
      <c r="A37" s="18"/>
      <c r="B37" s="4"/>
    </row>
    <row r="38" spans="1:3" x14ac:dyDescent="0.3">
      <c r="A38" s="13"/>
      <c r="B38" s="4"/>
      <c r="C38" s="4"/>
    </row>
    <row r="39" spans="1:3" x14ac:dyDescent="0.3">
      <c r="A39" s="13"/>
      <c r="B39" s="4"/>
      <c r="C39" s="4"/>
    </row>
    <row r="40" spans="1:3" x14ac:dyDescent="0.3">
      <c r="A40" s="13"/>
      <c r="B40" s="4"/>
      <c r="C40" s="4"/>
    </row>
    <row r="41" spans="1:3" x14ac:dyDescent="0.3">
      <c r="A41" s="13"/>
      <c r="B41" s="4"/>
      <c r="C41" s="4"/>
    </row>
    <row r="42" spans="1:3" x14ac:dyDescent="0.3">
      <c r="A42" s="13"/>
      <c r="B42" s="4"/>
      <c r="C42" s="4"/>
    </row>
    <row r="43" spans="1:3" x14ac:dyDescent="0.3">
      <c r="A43" s="13"/>
      <c r="B43" s="4"/>
      <c r="C43" s="4"/>
    </row>
    <row r="44" spans="1:3" x14ac:dyDescent="0.3">
      <c r="A44" s="13"/>
      <c r="B44" s="4"/>
      <c r="C44" s="4"/>
    </row>
    <row r="45" spans="1:3" x14ac:dyDescent="0.3">
      <c r="A45" s="13"/>
      <c r="B45" s="7"/>
      <c r="C45" s="4"/>
    </row>
    <row r="46" spans="1:3" x14ac:dyDescent="0.3">
      <c r="A46" s="13"/>
      <c r="B46" s="7"/>
      <c r="C46" s="4"/>
    </row>
    <row r="47" spans="1:3" x14ac:dyDescent="0.3">
      <c r="A47" s="13"/>
      <c r="B47" s="7"/>
      <c r="C47" s="4"/>
    </row>
    <row r="48" spans="1:3" x14ac:dyDescent="0.3">
      <c r="A48" s="19"/>
      <c r="B48" s="4"/>
      <c r="C48" s="4"/>
    </row>
    <row r="49" spans="1:3" x14ac:dyDescent="0.3">
      <c r="A49" s="18"/>
      <c r="B49" s="4"/>
      <c r="C49" s="4"/>
    </row>
    <row r="50" spans="1:3" x14ac:dyDescent="0.3">
      <c r="A50" s="13"/>
      <c r="B50" s="4"/>
      <c r="C50" s="4"/>
    </row>
    <row r="51" spans="1:3" x14ac:dyDescent="0.3">
      <c r="A51" s="13"/>
      <c r="B51" s="7"/>
      <c r="C51" s="4"/>
    </row>
    <row r="52" spans="1:3" x14ac:dyDescent="0.3">
      <c r="A52" s="13"/>
      <c r="B52" s="7"/>
      <c r="C52" s="4"/>
    </row>
    <row r="53" spans="1:3" x14ac:dyDescent="0.3">
      <c r="A53" s="13"/>
      <c r="B53" s="4"/>
      <c r="C53" s="4"/>
    </row>
    <row r="54" spans="1:3" x14ac:dyDescent="0.3">
      <c r="A54" s="13"/>
      <c r="B54" s="7"/>
      <c r="C54" s="4"/>
    </row>
    <row r="55" spans="1:3" x14ac:dyDescent="0.3">
      <c r="A55" s="13"/>
      <c r="B55" s="7"/>
      <c r="C55" s="4"/>
    </row>
    <row r="56" spans="1:3" x14ac:dyDescent="0.3">
      <c r="A56" s="13"/>
      <c r="B56" s="7"/>
      <c r="C56" s="4"/>
    </row>
    <row r="57" spans="1:3" x14ac:dyDescent="0.3">
      <c r="A57" s="13"/>
      <c r="B57" s="4"/>
      <c r="C57" s="4"/>
    </row>
    <row r="58" spans="1:3" x14ac:dyDescent="0.3">
      <c r="A58" s="13"/>
      <c r="B58" s="4"/>
      <c r="C58" s="4"/>
    </row>
    <row r="59" spans="1:3" x14ac:dyDescent="0.3">
      <c r="A59" s="13"/>
      <c r="B59" s="7"/>
      <c r="C59" s="4"/>
    </row>
    <row r="60" spans="1:3" x14ac:dyDescent="0.3">
      <c r="A60" s="13"/>
      <c r="B60" s="7"/>
      <c r="C60" s="4"/>
    </row>
    <row r="61" spans="1:3" x14ac:dyDescent="0.3">
      <c r="A61" s="13"/>
      <c r="B61" s="7"/>
      <c r="C61" s="4"/>
    </row>
    <row r="62" spans="1:3" x14ac:dyDescent="0.3">
      <c r="A62" s="13"/>
      <c r="B62" s="7"/>
      <c r="C62" s="4"/>
    </row>
    <row r="63" spans="1:3" x14ac:dyDescent="0.3">
      <c r="A63" s="13"/>
      <c r="B63" s="7"/>
      <c r="C63" s="4"/>
    </row>
    <row r="64" spans="1:3" x14ac:dyDescent="0.3">
      <c r="A64" s="13"/>
      <c r="B64" s="7"/>
      <c r="C64" s="4"/>
    </row>
    <row r="65" spans="1:3" x14ac:dyDescent="0.3">
      <c r="A65" s="13"/>
      <c r="B65" s="7"/>
      <c r="C65" s="4"/>
    </row>
    <row r="66" spans="1:3" x14ac:dyDescent="0.3">
      <c r="A66" s="13"/>
      <c r="B66" s="7"/>
      <c r="C66" s="4"/>
    </row>
    <row r="67" spans="1:3" x14ac:dyDescent="0.3">
      <c r="A67" s="13"/>
      <c r="B67" s="7"/>
      <c r="C67" s="4"/>
    </row>
    <row r="68" spans="1:3" x14ac:dyDescent="0.3">
      <c r="A68" s="13"/>
      <c r="B68" s="4"/>
      <c r="C68" s="4"/>
    </row>
    <row r="69" spans="1:3" x14ac:dyDescent="0.3">
      <c r="A69" s="18"/>
      <c r="B69" s="4"/>
    </row>
    <row r="70" spans="1:3" x14ac:dyDescent="0.3">
      <c r="A70" s="13"/>
      <c r="B70" s="4"/>
    </row>
    <row r="71" spans="1:3" x14ac:dyDescent="0.3">
      <c r="B71" s="7"/>
    </row>
    <row r="72" spans="1:3" x14ac:dyDescent="0.3">
      <c r="B72" s="7"/>
    </row>
    <row r="73" spans="1:3" x14ac:dyDescent="0.3">
      <c r="A73" s="13"/>
      <c r="B73" s="4"/>
    </row>
    <row r="74" spans="1:3" x14ac:dyDescent="0.3">
      <c r="B74" s="7"/>
    </row>
    <row r="75" spans="1:3" x14ac:dyDescent="0.3">
      <c r="B75" s="7"/>
    </row>
    <row r="76" spans="1:3" x14ac:dyDescent="0.3">
      <c r="B76" s="7"/>
    </row>
    <row r="77" spans="1:3" x14ac:dyDescent="0.3">
      <c r="A77" s="13"/>
      <c r="B77" s="7"/>
    </row>
    <row r="78" spans="1:3" x14ac:dyDescent="0.3">
      <c r="B78" s="7"/>
    </row>
    <row r="79" spans="1:3" x14ac:dyDescent="0.3">
      <c r="A79" s="13"/>
      <c r="B79" s="7"/>
    </row>
    <row r="80" spans="1:3" x14ac:dyDescent="0.3">
      <c r="A80" s="13"/>
      <c r="B80" s="7"/>
    </row>
    <row r="81" spans="1:2" x14ac:dyDescent="0.3">
      <c r="A81" s="13"/>
      <c r="B81" s="4"/>
    </row>
  </sheetData>
  <sheetProtection autoFilter="0"/>
  <phoneticPr fontId="0" type="noConversion"/>
  <pageMargins left="0.23622047244094491" right="0.23622047244094491" top="0.43307086614173229" bottom="0.43307086614173229" header="0.23622047244094491" footer="0.23622047244094491"/>
  <pageSetup paperSize="9" orientation="portrait" r:id="rId1"/>
  <headerFooter alignWithMargins="0">
    <oddFooter>&amp;L&amp;8&amp;D &amp;T&amp;C&amp;8&amp;Z&amp;F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indexed="22"/>
  </sheetPr>
  <dimension ref="A1:B13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25" sqref="B25"/>
    </sheetView>
  </sheetViews>
  <sheetFormatPr defaultColWidth="9.83203125" defaultRowHeight="10.15" x14ac:dyDescent="0.3"/>
  <cols>
    <col min="1" max="1" width="22" customWidth="1"/>
    <col min="2" max="2" width="19.83203125" customWidth="1"/>
  </cols>
  <sheetData>
    <row r="1" spans="1:2" ht="15" x14ac:dyDescent="0.3">
      <c r="A1" s="20" t="s">
        <v>0</v>
      </c>
      <c r="B1" s="23"/>
    </row>
    <row r="2" spans="1:2" ht="15" x14ac:dyDescent="0.3">
      <c r="A2" s="24" t="str">
        <f>kAppName</f>
        <v>SUMIF examples</v>
      </c>
      <c r="B2" s="27"/>
    </row>
    <row r="3" spans="1:2" x14ac:dyDescent="0.3">
      <c r="A3" s="30"/>
      <c r="B3" s="27"/>
    </row>
    <row r="4" spans="1:2" ht="10.5" thickBot="1" x14ac:dyDescent="0.35">
      <c r="A4" s="31"/>
      <c r="B4" s="32"/>
    </row>
    <row r="5" spans="1:2" x14ac:dyDescent="0.3">
      <c r="A5" s="3"/>
      <c r="B5" s="1"/>
    </row>
    <row r="6" spans="1:2" x14ac:dyDescent="0.3">
      <c r="A6" s="3" t="s">
        <v>3</v>
      </c>
      <c r="B6" s="1" t="s">
        <v>54</v>
      </c>
    </row>
    <row r="7" spans="1:2" x14ac:dyDescent="0.3">
      <c r="A7" s="6" t="s">
        <v>5</v>
      </c>
      <c r="B7" s="1" t="s">
        <v>56</v>
      </c>
    </row>
    <row r="8" spans="1:2" x14ac:dyDescent="0.3">
      <c r="A8" s="3" t="s">
        <v>2</v>
      </c>
      <c r="B8" s="1" t="s">
        <v>45</v>
      </c>
    </row>
    <row r="9" spans="1:2" x14ac:dyDescent="0.3">
      <c r="A9" s="3" t="s">
        <v>8</v>
      </c>
      <c r="B9" s="17">
        <v>1E-3</v>
      </c>
    </row>
    <row r="10" spans="1:2" x14ac:dyDescent="0.3">
      <c r="A10" s="3" t="s">
        <v>9</v>
      </c>
      <c r="B10" s="1" t="s">
        <v>10</v>
      </c>
    </row>
    <row r="11" spans="1:2" x14ac:dyDescent="0.3">
      <c r="A11" s="3" t="s">
        <v>1</v>
      </c>
      <c r="B11" s="1" t="str">
        <f ca="1">TEXT(NOW(),"d-mmm-yyyy h:mm AM/PM ")</f>
        <v xml:space="preserve">22-Sep-2024 6:19 PM </v>
      </c>
    </row>
    <row r="12" spans="1:2" x14ac:dyDescent="0.3">
      <c r="A12" s="3" t="s">
        <v>29</v>
      </c>
      <c r="B12" s="1" t="b">
        <v>1</v>
      </c>
    </row>
    <row r="13" spans="1:2" ht="6" customHeight="1" thickBot="1" x14ac:dyDescent="0.35">
      <c r="A13" s="5"/>
      <c r="B13" s="2"/>
    </row>
  </sheetData>
  <sheetProtection autoFilter="0"/>
  <phoneticPr fontId="0" type="noConversion"/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0" tint="-0.249977111117893"/>
  </sheetPr>
  <dimension ref="I10:O40"/>
  <sheetViews>
    <sheetView tabSelected="1" showOutlineSymbols="0" topLeftCell="I11" zoomScaleNormal="100" workbookViewId="0">
      <selection activeCell="M42" sqref="M42"/>
    </sheetView>
  </sheetViews>
  <sheetFormatPr defaultRowHeight="10.15" x14ac:dyDescent="0.3"/>
  <cols>
    <col min="1" max="1" width="50.83203125" customWidth="1"/>
    <col min="9" max="9" width="10.6640625" customWidth="1"/>
    <col min="10" max="10" width="9.4140625" bestFit="1" customWidth="1"/>
    <col min="11" max="11" width="15.83203125" customWidth="1"/>
    <col min="12" max="13" width="14.83203125" customWidth="1"/>
    <col min="14" max="14" width="8.1640625" customWidth="1"/>
    <col min="15" max="15" width="1.83203125" customWidth="1"/>
    <col min="16" max="28" width="10.6640625" customWidth="1"/>
  </cols>
  <sheetData>
    <row r="10" spans="11:15" ht="10.5" thickBot="1" x14ac:dyDescent="0.35"/>
    <row r="11" spans="11:15" ht="15" x14ac:dyDescent="0.3">
      <c r="K11" s="20" t="s">
        <v>43</v>
      </c>
      <c r="L11" s="22" t="str">
        <f>kOrgName</f>
        <v>Horrods of London</v>
      </c>
      <c r="M11" s="22"/>
      <c r="N11" s="22"/>
      <c r="O11" s="23"/>
    </row>
    <row r="12" spans="11:15" ht="15" x14ac:dyDescent="0.3">
      <c r="K12" s="24" t="s">
        <v>44</v>
      </c>
      <c r="L12" s="26" t="str">
        <f ca="1">kNow</f>
        <v xml:space="preserve">22-Sep-2024 6:19 PM </v>
      </c>
      <c r="M12" s="26"/>
      <c r="N12" s="26"/>
      <c r="O12" s="27"/>
    </row>
    <row r="13" spans="11:15" ht="13.15" x14ac:dyDescent="0.3">
      <c r="K13" s="28"/>
      <c r="L13" s="25"/>
      <c r="M13" s="25"/>
      <c r="N13" s="25"/>
      <c r="O13" s="27"/>
    </row>
    <row r="14" spans="11:15" ht="10.5" thickBot="1" x14ac:dyDescent="0.35">
      <c r="K14" s="37" t="s">
        <v>32</v>
      </c>
      <c r="L14" s="38" t="s">
        <v>33</v>
      </c>
      <c r="M14" s="38" t="s">
        <v>62</v>
      </c>
      <c r="N14" s="38" t="s">
        <v>41</v>
      </c>
      <c r="O14" s="29"/>
    </row>
    <row r="15" spans="11:15" x14ac:dyDescent="0.3">
      <c r="K15" s="3" t="s">
        <v>49</v>
      </c>
      <c r="L15" s="4" t="s">
        <v>34</v>
      </c>
      <c r="M15" s="4" t="s">
        <v>63</v>
      </c>
      <c r="N15" s="39">
        <v>250</v>
      </c>
      <c r="O15" s="1"/>
    </row>
    <row r="16" spans="11:15" x14ac:dyDescent="0.3">
      <c r="K16" s="3" t="s">
        <v>49</v>
      </c>
      <c r="L16" s="4" t="s">
        <v>34</v>
      </c>
      <c r="M16" s="4" t="s">
        <v>64</v>
      </c>
      <c r="N16" s="39">
        <v>125</v>
      </c>
      <c r="O16" s="1"/>
    </row>
    <row r="17" spans="11:15" x14ac:dyDescent="0.3">
      <c r="K17" s="3" t="s">
        <v>35</v>
      </c>
      <c r="L17" s="4" t="s">
        <v>46</v>
      </c>
      <c r="M17" s="4" t="s">
        <v>63</v>
      </c>
      <c r="N17" s="39">
        <v>100</v>
      </c>
      <c r="O17" s="1"/>
    </row>
    <row r="18" spans="11:15" x14ac:dyDescent="0.3">
      <c r="K18" s="3" t="s">
        <v>35</v>
      </c>
      <c r="L18" s="4" t="s">
        <v>46</v>
      </c>
      <c r="M18" s="4" t="s">
        <v>64</v>
      </c>
      <c r="N18" s="39">
        <v>75</v>
      </c>
      <c r="O18" s="1"/>
    </row>
    <row r="19" spans="11:15" x14ac:dyDescent="0.3">
      <c r="K19" s="3" t="s">
        <v>48</v>
      </c>
      <c r="L19" s="4" t="s">
        <v>68</v>
      </c>
      <c r="M19" s="4" t="s">
        <v>63</v>
      </c>
      <c r="N19" s="39">
        <v>300</v>
      </c>
      <c r="O19" s="1"/>
    </row>
    <row r="20" spans="11:15" x14ac:dyDescent="0.3">
      <c r="K20" s="3" t="s">
        <v>48</v>
      </c>
      <c r="L20" s="4" t="s">
        <v>68</v>
      </c>
      <c r="M20" s="4" t="s">
        <v>64</v>
      </c>
      <c r="N20" s="39">
        <v>225</v>
      </c>
      <c r="O20" s="1"/>
    </row>
    <row r="21" spans="11:15" x14ac:dyDescent="0.3">
      <c r="K21" s="3" t="s">
        <v>47</v>
      </c>
      <c r="L21" s="4" t="s">
        <v>69</v>
      </c>
      <c r="M21" s="4" t="s">
        <v>63</v>
      </c>
      <c r="N21" s="39">
        <v>80</v>
      </c>
      <c r="O21" s="1"/>
    </row>
    <row r="22" spans="11:15" x14ac:dyDescent="0.3">
      <c r="K22" s="3" t="s">
        <v>47</v>
      </c>
      <c r="L22" s="4" t="s">
        <v>69</v>
      </c>
      <c r="M22" s="4" t="s">
        <v>64</v>
      </c>
      <c r="N22" s="39">
        <v>25</v>
      </c>
      <c r="O22" s="1"/>
    </row>
    <row r="23" spans="11:15" x14ac:dyDescent="0.3">
      <c r="K23" s="3" t="s">
        <v>38</v>
      </c>
      <c r="L23" s="4" t="s">
        <v>39</v>
      </c>
      <c r="M23" s="4" t="s">
        <v>63</v>
      </c>
      <c r="N23" s="39">
        <v>200</v>
      </c>
      <c r="O23" s="1"/>
    </row>
    <row r="24" spans="11:15" x14ac:dyDescent="0.3">
      <c r="K24" s="3" t="s">
        <v>38</v>
      </c>
      <c r="L24" s="4" t="s">
        <v>39</v>
      </c>
      <c r="M24" s="4" t="s">
        <v>64</v>
      </c>
      <c r="N24" s="39">
        <v>175</v>
      </c>
      <c r="O24" s="1"/>
    </row>
    <row r="25" spans="11:15" x14ac:dyDescent="0.3">
      <c r="K25" s="3" t="s">
        <v>50</v>
      </c>
      <c r="L25" s="4" t="s">
        <v>39</v>
      </c>
      <c r="M25" s="4" t="s">
        <v>63</v>
      </c>
      <c r="N25" s="39">
        <v>300</v>
      </c>
      <c r="O25" s="1"/>
    </row>
    <row r="26" spans="11:15" x14ac:dyDescent="0.3">
      <c r="K26" s="3" t="s">
        <v>50</v>
      </c>
      <c r="L26" s="4" t="s">
        <v>39</v>
      </c>
      <c r="M26" s="4" t="s">
        <v>64</v>
      </c>
      <c r="N26" s="39">
        <v>125</v>
      </c>
      <c r="O26" s="1"/>
    </row>
    <row r="27" spans="11:15" ht="6.75" customHeight="1" thickBot="1" x14ac:dyDescent="0.35">
      <c r="K27" s="5"/>
      <c r="L27" s="36"/>
      <c r="M27" s="36"/>
      <c r="N27" s="36"/>
      <c r="O27" s="2"/>
    </row>
    <row r="28" spans="11:15" x14ac:dyDescent="0.3">
      <c r="K28" s="8" t="s">
        <v>40</v>
      </c>
    </row>
    <row r="29" spans="11:15" x14ac:dyDescent="0.3">
      <c r="K29" s="9" t="s">
        <v>39</v>
      </c>
      <c r="L29" s="40">
        <f>SUMIFS($N$14:$N$27,$L$14:$L$27,"Electronics")</f>
        <v>800</v>
      </c>
      <c r="M29" s="40"/>
    </row>
    <row r="30" spans="11:15" x14ac:dyDescent="0.3">
      <c r="K30" s="9"/>
      <c r="L30" t="s">
        <v>60</v>
      </c>
    </row>
    <row r="31" spans="11:15" x14ac:dyDescent="0.3">
      <c r="K31" s="9" t="s">
        <v>36</v>
      </c>
      <c r="L31" s="40">
        <f>SUMIFS($N$14:$N$27,$L$14:$L$27,"Clothing*")</f>
        <v>550</v>
      </c>
      <c r="M31" s="40"/>
    </row>
    <row r="32" spans="11:15" x14ac:dyDescent="0.3">
      <c r="K32" s="9"/>
      <c r="L32" t="s">
        <v>59</v>
      </c>
    </row>
    <row r="33" spans="9:13" x14ac:dyDescent="0.3">
      <c r="I33" t="s">
        <v>63</v>
      </c>
      <c r="J33" t="s">
        <v>39</v>
      </c>
      <c r="K33" s="9" t="s">
        <v>66</v>
      </c>
      <c r="L33" s="40">
        <f>SUMIFS($N$14:$N$27,$L$14:$L$27,J33,$M$14:$M$27,I33)</f>
        <v>500</v>
      </c>
    </row>
    <row r="34" spans="9:13" x14ac:dyDescent="0.3">
      <c r="L34" t="s">
        <v>65</v>
      </c>
    </row>
    <row r="35" spans="9:13" x14ac:dyDescent="0.3">
      <c r="I35" t="s">
        <v>67</v>
      </c>
      <c r="J35" t="s">
        <v>57</v>
      </c>
      <c r="K35" s="9" t="s">
        <v>53</v>
      </c>
      <c r="L35" s="40">
        <f>SUMIFS($N$14:$N$27,$L$14:$L$27,J35,$L$14:$L$27,I35)</f>
        <v>280</v>
      </c>
      <c r="M35" s="40"/>
    </row>
    <row r="36" spans="9:13" x14ac:dyDescent="0.3">
      <c r="K36" s="9"/>
      <c r="L36" t="s">
        <v>42</v>
      </c>
    </row>
    <row r="37" spans="9:13" x14ac:dyDescent="0.3">
      <c r="J37" t="s">
        <v>61</v>
      </c>
      <c r="K37" s="9" t="s">
        <v>37</v>
      </c>
      <c r="L37" s="40">
        <f>SUMIFS($N$14:$N$27,$K$14:$K$27,J37)</f>
        <v>750</v>
      </c>
      <c r="M37" s="40"/>
    </row>
    <row r="38" spans="9:13" x14ac:dyDescent="0.3">
      <c r="K38" s="9"/>
      <c r="L38" t="s">
        <v>58</v>
      </c>
    </row>
    <row r="39" spans="9:13" x14ac:dyDescent="0.3">
      <c r="J39" t="s">
        <v>70</v>
      </c>
      <c r="K39" s="9" t="s">
        <v>71</v>
      </c>
      <c r="L39" s="40">
        <f>SUMIFS($N$14:$N$27,$N$14:$N$27,J39)</f>
        <v>850</v>
      </c>
      <c r="M39" s="40"/>
    </row>
    <row r="40" spans="9:13" x14ac:dyDescent="0.3">
      <c r="L40" t="s">
        <v>72</v>
      </c>
      <c r="M40" s="40"/>
    </row>
  </sheetData>
  <sheetProtection autoFilter="0"/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16</vt:i4>
      </vt:variant>
    </vt:vector>
  </HeadingPairs>
  <TitlesOfParts>
    <vt:vector size="19" baseType="lpstr">
      <vt:lpstr>Guide</vt:lpstr>
      <vt:lpstr>Params</vt:lpstr>
      <vt:lpstr>dStockCalcs</vt:lpstr>
      <vt:lpstr>afbParams</vt:lpstr>
      <vt:lpstr>dStockCalcs!afbSheet</vt:lpstr>
      <vt:lpstr>kAppName</vt:lpstr>
      <vt:lpstr>kCrosscheckMsg</vt:lpstr>
      <vt:lpstr>kCrosscheckTolerance</vt:lpstr>
      <vt:lpstr>kHideWebToolbar</vt:lpstr>
      <vt:lpstr>kNow</vt:lpstr>
      <vt:lpstr>kOrgName</vt:lpstr>
      <vt:lpstr>kVersion</vt:lpstr>
      <vt:lpstr>dStockCalcs!Print_Area</vt:lpstr>
      <vt:lpstr>dStockCalcs!Print_Titles</vt:lpstr>
      <vt:lpstr>Guide!Print_Titles</vt:lpstr>
      <vt:lpstr>Params!Print_Titles</vt:lpstr>
      <vt:lpstr>dStockCalcs!ttSheet</vt:lpstr>
      <vt:lpstr>Guide!ttSheet</vt:lpstr>
      <vt:lpstr>Params!ttSheet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</dc:creator>
  <cp:lastModifiedBy>Paul Oulton</cp:lastModifiedBy>
  <cp:lastPrinted>2005-10-20T08:44:37Z</cp:lastPrinted>
  <dcterms:created xsi:type="dcterms:W3CDTF">1997-09-04T02:48:07Z</dcterms:created>
  <dcterms:modified xsi:type="dcterms:W3CDTF">2024-09-22T06:24:50Z</dcterms:modified>
</cp:coreProperties>
</file>